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roslavaugustus/Downloads/Telegram Desktop/"/>
    </mc:Choice>
  </mc:AlternateContent>
  <xr:revisionPtr revIDLastSave="0" documentId="13_ncr:1_{313F8701-4DCE-564F-A906-2944526F42CD}" xr6:coauthVersionLast="47" xr6:coauthVersionMax="47" xr10:uidLastSave="{00000000-0000-0000-0000-000000000000}"/>
  <bookViews>
    <workbookView xWindow="240" yWindow="780" windowWidth="22400" windowHeight="19300" firstSheet="5" activeTab="6" xr2:uid="{00000000-000D-0000-FFFF-FFFF00000000}"/>
  </bookViews>
  <sheets>
    <sheet name="results-baseline" sheetId="1" r:id="rId1"/>
    <sheet name="Sheet1" sheetId="11" r:id="rId2"/>
    <sheet name="Sheet2" sheetId="12" r:id="rId3"/>
    <sheet name="results-double" sheetId="2" r:id="rId4"/>
    <sheet name="results-triple" sheetId="3" r:id="rId5"/>
    <sheet name="results-quadruple" sheetId="4" r:id="rId6"/>
    <sheet name="results-quintuple" sheetId="5" r:id="rId7"/>
    <sheet name="results-sextuple" sheetId="6" r:id="rId8"/>
    <sheet name="results-small" sheetId="7" r:id="rId9"/>
    <sheet name="results-medium" sheetId="8" r:id="rId10"/>
    <sheet name="results-signed" sheetId="9" r:id="rId11"/>
    <sheet name="results-large" sheetId="10" r:id="rId12"/>
    <sheet name="comparison-coef" sheetId="13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3" l="1"/>
  <c r="E62" i="13"/>
  <c r="D62" i="13"/>
  <c r="C62" i="13"/>
  <c r="B62" i="13"/>
  <c r="F61" i="13"/>
  <c r="E61" i="13"/>
  <c r="D61" i="13"/>
  <c r="C61" i="13"/>
  <c r="B61" i="13"/>
  <c r="F60" i="13"/>
  <c r="E60" i="13"/>
  <c r="D60" i="13"/>
  <c r="C60" i="13"/>
  <c r="B60" i="13"/>
  <c r="F59" i="13"/>
  <c r="E59" i="13"/>
  <c r="D59" i="13"/>
  <c r="C59" i="13"/>
  <c r="B59" i="13"/>
  <c r="F58" i="13"/>
  <c r="E58" i="13"/>
  <c r="D58" i="13"/>
  <c r="C58" i="13"/>
  <c r="B58" i="13"/>
  <c r="F57" i="13"/>
  <c r="E57" i="13"/>
  <c r="D57" i="13"/>
  <c r="C57" i="13"/>
  <c r="B57" i="13"/>
  <c r="F56" i="13"/>
  <c r="E56" i="13"/>
  <c r="D56" i="13"/>
  <c r="C56" i="13"/>
  <c r="B56" i="13"/>
  <c r="F55" i="13"/>
  <c r="E55" i="13"/>
  <c r="D55" i="13"/>
  <c r="C55" i="13"/>
  <c r="B55" i="13"/>
  <c r="F54" i="13"/>
  <c r="E54" i="13"/>
  <c r="D54" i="13"/>
  <c r="C54" i="13"/>
  <c r="B54" i="13"/>
  <c r="F53" i="13"/>
  <c r="E53" i="13"/>
  <c r="D53" i="13"/>
  <c r="C53" i="13"/>
  <c r="B53" i="13"/>
  <c r="F52" i="13"/>
  <c r="E52" i="13"/>
  <c r="D52" i="13"/>
  <c r="C52" i="13"/>
  <c r="B52" i="13"/>
  <c r="F51" i="13"/>
  <c r="E51" i="13"/>
  <c r="D51" i="13"/>
  <c r="C51" i="13"/>
  <c r="B51" i="13"/>
  <c r="F50" i="13"/>
  <c r="E50" i="13"/>
  <c r="D50" i="13"/>
  <c r="C50" i="13"/>
  <c r="B50" i="13"/>
  <c r="F49" i="13"/>
  <c r="E49" i="13"/>
  <c r="D49" i="13"/>
  <c r="C49" i="13"/>
  <c r="B49" i="13"/>
  <c r="F48" i="13"/>
  <c r="E48" i="13"/>
  <c r="D48" i="13"/>
  <c r="C48" i="13"/>
  <c r="B48" i="13"/>
  <c r="F47" i="13"/>
  <c r="E47" i="13"/>
  <c r="D47" i="13"/>
  <c r="C47" i="13"/>
  <c r="B47" i="13"/>
  <c r="F46" i="13"/>
  <c r="E46" i="13"/>
  <c r="D46" i="13"/>
  <c r="C46" i="13"/>
  <c r="B46" i="13"/>
  <c r="F45" i="13"/>
  <c r="E45" i="13"/>
  <c r="D45" i="13"/>
  <c r="C45" i="13"/>
  <c r="B45" i="13"/>
  <c r="F44" i="13"/>
  <c r="E44" i="13"/>
  <c r="D44" i="13"/>
  <c r="C44" i="13"/>
  <c r="B44" i="13"/>
  <c r="F43" i="13"/>
  <c r="E43" i="13"/>
  <c r="D43" i="13"/>
  <c r="C43" i="13"/>
  <c r="B43" i="13"/>
  <c r="F42" i="13"/>
  <c r="E42" i="13"/>
  <c r="D42" i="13"/>
  <c r="C42" i="13"/>
  <c r="B42" i="13"/>
  <c r="F41" i="13"/>
  <c r="E41" i="13"/>
  <c r="D41" i="13"/>
  <c r="C41" i="13"/>
  <c r="B41" i="13"/>
  <c r="F40" i="13"/>
  <c r="E40" i="13"/>
  <c r="D40" i="13"/>
  <c r="C40" i="13"/>
  <c r="B40" i="13"/>
  <c r="F39" i="13"/>
  <c r="E39" i="13"/>
  <c r="C39" i="13"/>
  <c r="B39" i="13"/>
  <c r="F38" i="13"/>
  <c r="E38" i="13"/>
  <c r="D38" i="13"/>
  <c r="C38" i="13"/>
  <c r="B38" i="13"/>
  <c r="F37" i="13"/>
  <c r="E37" i="13"/>
  <c r="D37" i="13"/>
  <c r="C37" i="13"/>
  <c r="B37" i="13"/>
  <c r="F36" i="13"/>
  <c r="E36" i="13"/>
  <c r="D36" i="13"/>
  <c r="C36" i="13"/>
  <c r="B36" i="13"/>
  <c r="F35" i="13"/>
  <c r="E35" i="13"/>
  <c r="D35" i="13"/>
  <c r="C35" i="13"/>
  <c r="B35" i="13"/>
  <c r="F34" i="13"/>
  <c r="E34" i="13"/>
  <c r="D34" i="13"/>
  <c r="C34" i="13"/>
  <c r="B34" i="13"/>
  <c r="F33" i="13"/>
  <c r="E33" i="13"/>
  <c r="D33" i="13"/>
  <c r="C33" i="13"/>
  <c r="B33" i="13"/>
  <c r="F32" i="13"/>
  <c r="E32" i="13"/>
  <c r="D32" i="13"/>
  <c r="C32" i="13"/>
  <c r="B32" i="13"/>
  <c r="F31" i="13"/>
  <c r="E31" i="13"/>
  <c r="D31" i="13"/>
  <c r="C31" i="13"/>
  <c r="B31" i="13"/>
  <c r="F30" i="13"/>
  <c r="E30" i="13"/>
  <c r="D30" i="13"/>
  <c r="C30" i="13"/>
  <c r="B30" i="13"/>
  <c r="F29" i="13"/>
  <c r="E29" i="13"/>
  <c r="D29" i="13"/>
  <c r="C29" i="13"/>
  <c r="B29" i="13"/>
  <c r="F28" i="13"/>
  <c r="E28" i="13"/>
  <c r="D28" i="13"/>
  <c r="C28" i="13"/>
  <c r="B28" i="13"/>
  <c r="F27" i="13"/>
  <c r="E27" i="13"/>
  <c r="D27" i="13"/>
  <c r="C27" i="13"/>
  <c r="B27" i="13"/>
  <c r="F26" i="13"/>
  <c r="E26" i="13"/>
  <c r="D26" i="13"/>
  <c r="C26" i="13"/>
  <c r="B26" i="13"/>
  <c r="F25" i="13"/>
  <c r="E25" i="13"/>
  <c r="D25" i="13"/>
  <c r="C25" i="13"/>
  <c r="B25" i="13"/>
  <c r="F24" i="13"/>
  <c r="E24" i="13"/>
  <c r="D24" i="13"/>
  <c r="C24" i="13"/>
  <c r="B24" i="13"/>
  <c r="F23" i="13"/>
  <c r="E23" i="13"/>
  <c r="D23" i="13"/>
  <c r="C23" i="13"/>
  <c r="B23" i="13"/>
  <c r="F22" i="13"/>
  <c r="E22" i="13"/>
  <c r="D22" i="13"/>
  <c r="C22" i="13"/>
  <c r="B22" i="13"/>
  <c r="F21" i="13"/>
  <c r="E21" i="13"/>
  <c r="D21" i="13"/>
  <c r="C21" i="13"/>
  <c r="B21" i="13"/>
  <c r="F20" i="13"/>
  <c r="E20" i="13"/>
  <c r="D20" i="13"/>
  <c r="C20" i="13"/>
  <c r="B20" i="13"/>
  <c r="F19" i="13"/>
  <c r="E19" i="13"/>
  <c r="D19" i="13"/>
  <c r="C19" i="13"/>
  <c r="B19" i="13"/>
  <c r="F18" i="13"/>
  <c r="E18" i="13"/>
  <c r="D18" i="13"/>
  <c r="C18" i="13"/>
  <c r="B18" i="13"/>
  <c r="F17" i="13"/>
  <c r="E17" i="13"/>
  <c r="D17" i="13"/>
  <c r="C17" i="13"/>
  <c r="B17" i="13"/>
  <c r="F16" i="13"/>
  <c r="E16" i="13"/>
  <c r="D16" i="13"/>
  <c r="C16" i="13"/>
  <c r="B16" i="13"/>
  <c r="F15" i="13"/>
  <c r="E15" i="13"/>
  <c r="D15" i="13"/>
  <c r="C15" i="13"/>
  <c r="B15" i="13"/>
  <c r="F14" i="13"/>
  <c r="E14" i="13"/>
  <c r="D14" i="13"/>
  <c r="C14" i="13"/>
  <c r="B14" i="13"/>
  <c r="F13" i="13"/>
  <c r="E13" i="13"/>
  <c r="D13" i="13"/>
  <c r="C13" i="13"/>
  <c r="B13" i="13"/>
  <c r="F12" i="13"/>
  <c r="E12" i="13"/>
  <c r="D12" i="13"/>
  <c r="C12" i="13"/>
  <c r="B12" i="13"/>
  <c r="F11" i="13"/>
  <c r="E11" i="13"/>
  <c r="D11" i="13"/>
  <c r="C11" i="13"/>
  <c r="B11" i="13"/>
  <c r="F10" i="13"/>
  <c r="E10" i="13"/>
  <c r="D10" i="13"/>
  <c r="C10" i="13"/>
  <c r="B10" i="13"/>
  <c r="F9" i="13"/>
  <c r="E9" i="13"/>
  <c r="D9" i="13"/>
  <c r="C9" i="13"/>
  <c r="B9" i="13"/>
  <c r="F8" i="13"/>
  <c r="E8" i="13"/>
  <c r="D8" i="13"/>
  <c r="C8" i="13"/>
  <c r="B8" i="13"/>
  <c r="F7" i="13"/>
  <c r="E7" i="13"/>
  <c r="D7" i="13"/>
  <c r="C7" i="13"/>
  <c r="B7" i="13"/>
  <c r="F6" i="13"/>
  <c r="E6" i="13"/>
  <c r="D6" i="13"/>
  <c r="C6" i="13"/>
  <c r="B6" i="13"/>
  <c r="F5" i="13"/>
  <c r="E5" i="13"/>
  <c r="D5" i="13"/>
  <c r="C5" i="13"/>
  <c r="B5" i="13"/>
  <c r="F4" i="13"/>
  <c r="E4" i="13"/>
  <c r="D4" i="13"/>
  <c r="C4" i="13"/>
  <c r="B4" i="13"/>
  <c r="F3" i="13"/>
  <c r="E3" i="13"/>
  <c r="D3" i="13"/>
  <c r="C3" i="13"/>
  <c r="B3" i="13"/>
  <c r="F2" i="13"/>
  <c r="F73" i="13" s="1"/>
  <c r="E2" i="13"/>
  <c r="E71" i="13" s="1"/>
  <c r="D2" i="13"/>
  <c r="D71" i="13" s="1"/>
  <c r="C2" i="13"/>
  <c r="C71" i="13" s="1"/>
  <c r="B2" i="13"/>
  <c r="F69" i="13" s="1"/>
  <c r="B65" i="13" l="1"/>
  <c r="B70" i="13"/>
  <c r="B72" i="13"/>
  <c r="C65" i="13"/>
  <c r="C70" i="13"/>
  <c r="C72" i="13"/>
  <c r="D65" i="13"/>
  <c r="D70" i="13"/>
  <c r="D72" i="13"/>
  <c r="E65" i="13"/>
  <c r="E70" i="13"/>
  <c r="E72" i="13"/>
  <c r="F65" i="13"/>
  <c r="F70" i="13"/>
  <c r="F72" i="13"/>
  <c r="B69" i="13"/>
  <c r="B71" i="13"/>
  <c r="B73" i="13"/>
  <c r="C69" i="13"/>
  <c r="C73" i="13"/>
  <c r="D69" i="13"/>
  <c r="D73" i="13"/>
  <c r="E69" i="13"/>
  <c r="E73" i="13"/>
  <c r="F71" i="13"/>
</calcChain>
</file>

<file path=xl/sharedStrings.xml><?xml version="1.0" encoding="utf-8"?>
<sst xmlns="http://schemas.openxmlformats.org/spreadsheetml/2006/main" count="8038" uniqueCount="1170">
  <si>
    <t>name</t>
  </si>
  <si>
    <t>status</t>
  </si>
  <si>
    <t>solve_time_sec</t>
  </si>
  <si>
    <t>criterion_1_count</t>
  </si>
  <si>
    <t>criterion_2_count</t>
  </si>
  <si>
    <t>variable_count</t>
  </si>
  <si>
    <t>equation_count</t>
  </si>
  <si>
    <t>avg_coefficient</t>
  </si>
  <si>
    <t>avg_deg_per_literal</t>
  </si>
  <si>
    <t>avg_deg_per_monomial</t>
  </si>
  <si>
    <t>avg_literals_per_monomial</t>
  </si>
  <si>
    <t>avg_monomials_per_polynomial</t>
  </si>
  <si>
    <t>max_coefficient</t>
  </si>
  <si>
    <t>max_degree</t>
  </si>
  <si>
    <t>max_literals_per_monomial</t>
  </si>
  <si>
    <t>num_literals</t>
  </si>
  <si>
    <t>num_monomials</t>
  </si>
  <si>
    <t>num_polynomials</t>
  </si>
  <si>
    <t>sum_lcm_degrees</t>
  </si>
  <si>
    <t>sum_lcm_remainders_all_monomials</t>
  </si>
  <si>
    <t>sum_lcm_remainders_leading_monomials</t>
  </si>
  <si>
    <t>sum_coefficients</t>
  </si>
  <si>
    <t>sum_degrees</t>
  </si>
  <si>
    <t>eco8</t>
  </si>
  <si>
    <t>eco11</t>
  </si>
  <si>
    <t>jcf26</t>
  </si>
  <si>
    <t>redeco9</t>
  </si>
  <si>
    <t>redeco10</t>
  </si>
  <si>
    <t>hairer1</t>
  </si>
  <si>
    <t>ilias_k_2</t>
  </si>
  <si>
    <t>dessin1</t>
  </si>
  <si>
    <t>pinchon1</t>
  </si>
  <si>
    <t>hcyclic8</t>
  </si>
  <si>
    <t>kin1</t>
  </si>
  <si>
    <t>issac97</t>
  </si>
  <si>
    <t>camera1s</t>
  </si>
  <si>
    <t>tangents</t>
  </si>
  <si>
    <t>hemmecke</t>
  </si>
  <si>
    <t>reimer5</t>
  </si>
  <si>
    <t>hcyclic7</t>
  </si>
  <si>
    <t>hairer3</t>
  </si>
  <si>
    <t>chandra4</t>
  </si>
  <si>
    <t>liu</t>
  </si>
  <si>
    <t>ku10</t>
  </si>
  <si>
    <t>benchmark_D1</t>
  </si>
  <si>
    <t>katsura6</t>
  </si>
  <si>
    <t>hietarinta1</t>
  </si>
  <si>
    <t>extcyc5</t>
  </si>
  <si>
    <t>quadgrid</t>
  </si>
  <si>
    <t>lanconelli</t>
  </si>
  <si>
    <t>heart</t>
  </si>
  <si>
    <t>mckay</t>
  </si>
  <si>
    <t>ducos8</t>
  </si>
  <si>
    <t>comb3000s</t>
  </si>
  <si>
    <t>chemequs</t>
  </si>
  <si>
    <t>puma</t>
  </si>
  <si>
    <t>benchmark_i1</t>
  </si>
  <si>
    <t>vermeer</t>
  </si>
  <si>
    <t>test</t>
  </si>
  <si>
    <t>chandra5</t>
  </si>
  <si>
    <t>f966</t>
  </si>
  <si>
    <t>redeco11</t>
  </si>
  <si>
    <t>katsura10</t>
  </si>
  <si>
    <t>kotsireas</t>
  </si>
  <si>
    <t>mickey</t>
  </si>
  <si>
    <t>geneig</t>
  </si>
  <si>
    <t>comb3000</t>
  </si>
  <si>
    <t>f633</t>
  </si>
  <si>
    <t>chemequ</t>
  </si>
  <si>
    <t>des22_24</t>
  </si>
  <si>
    <t>i1</t>
  </si>
  <si>
    <t>augot</t>
  </si>
  <si>
    <t>redcyc8</t>
  </si>
  <si>
    <t>noon7</t>
  </si>
  <si>
    <t>ilias13</t>
  </si>
  <si>
    <t>extcyc7</t>
  </si>
  <si>
    <t>reimer7</t>
  </si>
  <si>
    <t>reif</t>
  </si>
  <si>
    <t>eco7</t>
  </si>
  <si>
    <t>chandra6</t>
  </si>
  <si>
    <t>butcher</t>
  </si>
  <si>
    <t>hcyclic5</t>
  </si>
  <si>
    <t>morgenstern</t>
  </si>
  <si>
    <t>cyclic7</t>
  </si>
  <si>
    <t>cohn2</t>
  </si>
  <si>
    <t>filter9</t>
  </si>
  <si>
    <t>dessin2</t>
  </si>
  <si>
    <t>reimer8</t>
  </si>
  <si>
    <t>redcyc5</t>
  </si>
  <si>
    <t>noon8</t>
  </si>
  <si>
    <t>ilias12</t>
  </si>
  <si>
    <t>katsura7</t>
  </si>
  <si>
    <t>cyclic5</t>
  </si>
  <si>
    <t>hf744</t>
  </si>
  <si>
    <t>redcyc6</t>
  </si>
  <si>
    <t>cpdm5</t>
  </si>
  <si>
    <t>noon9</t>
  </si>
  <si>
    <t>ducos10</t>
  </si>
  <si>
    <t>aubry2</t>
  </si>
  <si>
    <t>hawes4</t>
  </si>
  <si>
    <t>d1</t>
  </si>
  <si>
    <t>redeco7</t>
  </si>
  <si>
    <t>el44</t>
  </si>
  <si>
    <t>extcyc6</t>
  </si>
  <si>
    <t>rbpl</t>
  </si>
  <si>
    <t>noon5</t>
  </si>
  <si>
    <t>hcyclic6</t>
  </si>
  <si>
    <t>katsura9</t>
  </si>
  <si>
    <t>assur44</t>
  </si>
  <si>
    <t>cohn3</t>
  </si>
  <si>
    <t>eco9</t>
  </si>
  <si>
    <t>eco12</t>
  </si>
  <si>
    <t>rbpl24</t>
  </si>
  <si>
    <t>solotarev</t>
  </si>
  <si>
    <t>lichtblau</t>
  </si>
  <si>
    <t>ilias_k_3</t>
  </si>
  <si>
    <t>des18_3</t>
  </si>
  <si>
    <t>redcyc7</t>
  </si>
  <si>
    <t>redeco8</t>
  </si>
  <si>
    <t>hunecke</t>
  </si>
  <si>
    <t>sparse5</t>
  </si>
  <si>
    <t>lorentz</t>
  </si>
  <si>
    <t>butcher8</t>
  </si>
  <si>
    <t>redeco12</t>
  </si>
  <si>
    <t>katsura8</t>
  </si>
  <si>
    <t>uteshev_bikker</t>
  </si>
  <si>
    <t>kinema</t>
  </si>
  <si>
    <t>f744</t>
  </si>
  <si>
    <t>cyclic8</t>
  </si>
  <si>
    <t>ducos7_5</t>
  </si>
  <si>
    <t>ducos7_3</t>
  </si>
  <si>
    <t>el50</t>
  </si>
  <si>
    <t>reimer4</t>
  </si>
  <si>
    <t>rabmo</t>
  </si>
  <si>
    <t>caprasse</t>
  </si>
  <si>
    <t>eco10</t>
  </si>
  <si>
    <t>conform1</t>
  </si>
  <si>
    <t>f855</t>
  </si>
  <si>
    <t>extcyc8</t>
  </si>
  <si>
    <t>cyclic6</t>
  </si>
  <si>
    <t>hf855</t>
  </si>
  <si>
    <t>hairer2</t>
  </si>
  <si>
    <t>reimer6</t>
  </si>
  <si>
    <t>rose</t>
  </si>
  <si>
    <t>discret3</t>
  </si>
  <si>
    <t>dl</t>
  </si>
  <si>
    <t>speer</t>
  </si>
  <si>
    <t>quadfor2</t>
  </si>
  <si>
    <t>noon6</t>
  </si>
  <si>
    <t>fabrice24</t>
  </si>
  <si>
    <t>chemkin</t>
  </si>
  <si>
    <t>boon</t>
  </si>
  <si>
    <t>hairer4</t>
  </si>
  <si>
    <t>s9_1</t>
  </si>
  <si>
    <t>cassou</t>
  </si>
  <si>
    <t>matrix</t>
  </si>
  <si>
    <t>extcyc4</t>
  </si>
  <si>
    <t>ok</t>
  </si>
  <si>
    <t>timeout</t>
  </si>
  <si>
    <t>-</t>
  </si>
  <si>
    <t>eco8_z_x3_x6</t>
  </si>
  <si>
    <t>dessin1_z_a22_a30</t>
  </si>
  <si>
    <t>chemequs_z_y1_y2</t>
  </si>
  <si>
    <t>rbpl24_z_x1_x3</t>
  </si>
  <si>
    <t>dessin1_z_a21_a33</t>
  </si>
  <si>
    <t>chemequs_z_y2_y3</t>
  </si>
  <si>
    <t>matrix_z_a13_a31</t>
  </si>
  <si>
    <t>d1_z_x8_x9</t>
  </si>
  <si>
    <t>dessin2_z_a22_a35</t>
  </si>
  <si>
    <t>des18_3_z_a22_a31</t>
  </si>
  <si>
    <t>f633_z_U5_u3</t>
  </si>
  <si>
    <t>des18_3_z_a22_a33</t>
  </si>
  <si>
    <t>des18_3_z_a10_a30</t>
  </si>
  <si>
    <t>fabrice24_z_z2_z3</t>
  </si>
  <si>
    <t>filter9_z_m3_m6</t>
  </si>
  <si>
    <t>camera1s_z_d2_q2</t>
  </si>
  <si>
    <t>redeco9_z_x4_x8</t>
  </si>
  <si>
    <t>cyclic6_z_x4_x6</t>
  </si>
  <si>
    <t>cohn2_z_x_y</t>
  </si>
  <si>
    <t>tangents_z_x1_x2</t>
  </si>
  <si>
    <t>katsura7_z_u0_u1</t>
  </si>
  <si>
    <t>speer_z_x4_beta</t>
  </si>
  <si>
    <t>butcher_z_u_v</t>
  </si>
  <si>
    <t>redeco9_z_x3_x5</t>
  </si>
  <si>
    <t>katsura7_z_u2_u4</t>
  </si>
  <si>
    <t>katsura7_z_u3_u5</t>
  </si>
  <si>
    <t>d1_z_x1_x4</t>
  </si>
  <si>
    <t>matrix_z_a24_a41</t>
  </si>
  <si>
    <t>rabmo_z_x7_x9</t>
  </si>
  <si>
    <t>eco8_z_x1_x7</t>
  </si>
  <si>
    <t>hcyclic6_z_x2_x5</t>
  </si>
  <si>
    <t>geneig_z_x1_x6</t>
  </si>
  <si>
    <t>redeco9_z_x3_x7</t>
  </si>
  <si>
    <t>eco9_z_x7_x8</t>
  </si>
  <si>
    <t>kin1_z_c1_c3</t>
  </si>
  <si>
    <t>hcyclic6_z_x1_x5</t>
  </si>
  <si>
    <t>kin1_z_s4_s5</t>
  </si>
  <si>
    <t>katsura7_z_u3_u7</t>
  </si>
  <si>
    <t>tangents_z_x1_x3</t>
  </si>
  <si>
    <t>eco9_z_x6_x9</t>
  </si>
  <si>
    <t>dessin1_z_a10_a31</t>
  </si>
  <si>
    <t>vermeer_z_w_v</t>
  </si>
  <si>
    <t>speer_z_x2_n</t>
  </si>
  <si>
    <t>matrix_z_a14_a43</t>
  </si>
  <si>
    <t>dessin2_z_a23_a34</t>
  </si>
  <si>
    <t>fabrice24_z_x2_z1</t>
  </si>
  <si>
    <t>katsura6_z_u2_u5</t>
  </si>
  <si>
    <t>f633_z_U4_u5</t>
  </si>
  <si>
    <t>redcyc6_z_y1_y2</t>
  </si>
  <si>
    <t>speer_z_x2_x4</t>
  </si>
  <si>
    <t>des18_3_z_a21_a32</t>
  </si>
  <si>
    <t>fabrice24_z_x3_z2</t>
  </si>
  <si>
    <t>rbpl24_z_x2_y1</t>
  </si>
  <si>
    <t>fabrice24_z_x1_z3</t>
  </si>
  <si>
    <t>katsura7_z_u1_u6</t>
  </si>
  <si>
    <t>fabrice24_z_x1_z2</t>
  </si>
  <si>
    <t>geneig_z_x5_x6</t>
  </si>
  <si>
    <t>katsura6_z_u0_u5</t>
  </si>
  <si>
    <t>des22_24_z_a20_a31</t>
  </si>
  <si>
    <t>eco7_z_x2_x5</t>
  </si>
  <si>
    <t>redeco9_z_x6_x7</t>
  </si>
  <si>
    <t>camera1s_z_d2_q3</t>
  </si>
  <si>
    <t>katsura6_z_u3_u5</t>
  </si>
  <si>
    <t>des18_3_z_a20_a30</t>
  </si>
  <si>
    <t>matrix_z_a24_a42</t>
  </si>
  <si>
    <t>katsura6_z_u2_u3</t>
  </si>
  <si>
    <t>rbpl24_z_x1_y3</t>
  </si>
  <si>
    <t>filter9_z_a_b</t>
  </si>
  <si>
    <t>eco9_z_x7_x9</t>
  </si>
  <si>
    <t>filter9_z_a_m7</t>
  </si>
  <si>
    <t>benchmark_D1_z_x4_x9</t>
  </si>
  <si>
    <t>butcher8_z_a32_b3</t>
  </si>
  <si>
    <t>cpdm5_z_x1_x2</t>
  </si>
  <si>
    <t>des22_24_z_a21_a32</t>
  </si>
  <si>
    <t>redeco9_z_x5_x6</t>
  </si>
  <si>
    <t>des22_24_z_a23_a31</t>
  </si>
  <si>
    <t>kin1_z_c3_s1</t>
  </si>
  <si>
    <t>eco7_z_x5_x7</t>
  </si>
  <si>
    <t>des22_24_z_a23_a33</t>
  </si>
  <si>
    <t>butcher8_z_b3_c2</t>
  </si>
  <si>
    <t>kin1_z_c5_s6</t>
  </si>
  <si>
    <t>benchmark_D1_z_x4_x12</t>
  </si>
  <si>
    <t>extcyc5_z_x1_x3</t>
  </si>
  <si>
    <t>matrix_z_a33_a34</t>
  </si>
  <si>
    <t>redcyc6_z_y1_y4</t>
  </si>
  <si>
    <t>katsura7_z_u2_u3</t>
  </si>
  <si>
    <t>katsura6_z_u1_u4</t>
  </si>
  <si>
    <t>fabrice24_z_x3_y2</t>
  </si>
  <si>
    <t>dessin2_z_a31_a23</t>
  </si>
  <si>
    <t>camera1s_z_d3_q1</t>
  </si>
  <si>
    <t>rbpl24_z_x1_z3</t>
  </si>
  <si>
    <t>redcyc6_z_y2_y5</t>
  </si>
  <si>
    <t>matrix_z_a23_a34</t>
  </si>
  <si>
    <t>dessin1_z_a10_a32</t>
  </si>
  <si>
    <t>redeco8_z_x5_x7</t>
  </si>
  <si>
    <t>rbpl24_z_y2_z1</t>
  </si>
  <si>
    <t>cyclic6_z_x1_x2</t>
  </si>
  <si>
    <t>filter9_z_m4_m6</t>
  </si>
  <si>
    <t>f633_z_U2_u3</t>
  </si>
  <si>
    <t>filter9_z_m1_m2</t>
  </si>
  <si>
    <t>katsura7_z_u3_u4</t>
  </si>
  <si>
    <t>d1_z_x7_x9</t>
  </si>
  <si>
    <t>des18_3_z_a20_a33</t>
  </si>
  <si>
    <t>d1_z_x5_x10</t>
  </si>
  <si>
    <t>redeco9_z_x1_x3</t>
  </si>
  <si>
    <t>redeco8_z_x2_x4</t>
  </si>
  <si>
    <t>redcyc6_z_y3_y5</t>
  </si>
  <si>
    <t>d1_z_x1_x10</t>
  </si>
  <si>
    <t>benchmark_D1_z_x1_x10</t>
  </si>
  <si>
    <t>kinema_z_z2_z5</t>
  </si>
  <si>
    <t>dessin1_z_a20_a33</t>
  </si>
  <si>
    <t>speer_z_x1_n</t>
  </si>
  <si>
    <t>katsura7_z_u2_u6</t>
  </si>
  <si>
    <t>redeco8_z_x3_x5</t>
  </si>
  <si>
    <t>fabrice24_z_x2_y1</t>
  </si>
  <si>
    <t>d1_z_x2_x9</t>
  </si>
  <si>
    <t>dessin1_z_a10_a22</t>
  </si>
  <si>
    <t>redeco8_z_x2_x3</t>
  </si>
  <si>
    <t>camera1s_z_d1_q3</t>
  </si>
  <si>
    <t>filter9_z_b_m3</t>
  </si>
  <si>
    <t>f633_z_U2_u5</t>
  </si>
  <si>
    <t>matrix_z_a34_a44</t>
  </si>
  <si>
    <t>eco9_z_x3_x4</t>
  </si>
  <si>
    <t>dessin1_z_a20_a30</t>
  </si>
  <si>
    <t>katsura7_z_u1_u2</t>
  </si>
  <si>
    <t>redeco8_z_x1_x7</t>
  </si>
  <si>
    <t>des18_3_z_a10_a21</t>
  </si>
  <si>
    <t>hcyclic6_z_x2_x3</t>
  </si>
  <si>
    <t>cyclic6_z_x2_x4</t>
  </si>
  <si>
    <t>dessin2_z_a21_a31</t>
  </si>
  <si>
    <t>benchmark_D1_z_x5_x10</t>
  </si>
  <si>
    <t>kin1_z_s2_s5</t>
  </si>
  <si>
    <t>d1_z_x7_x10</t>
  </si>
  <si>
    <t>katsura6_z_u1_u2</t>
  </si>
  <si>
    <t>speer_z_x2_beta</t>
  </si>
  <si>
    <t>butcher_z_z_u</t>
  </si>
  <si>
    <t>cpdm5_z_x1_x3</t>
  </si>
  <si>
    <t>kinema_z_z1_z7</t>
  </si>
  <si>
    <t>matrix_z_a32_a43</t>
  </si>
  <si>
    <t>kin1_z_c5_s1</t>
  </si>
  <si>
    <t>geneig_z_x3_x6</t>
  </si>
  <si>
    <t>eco8_z_x1_x2</t>
  </si>
  <si>
    <t>katsura6_z_u0_u1</t>
  </si>
  <si>
    <t>camera1s_z_d1_q1</t>
  </si>
  <si>
    <t>redeco8_z_x2_x5</t>
  </si>
  <si>
    <t>katsura7_z_u0_u3</t>
  </si>
  <si>
    <t>katsura7_z_u1_u7</t>
  </si>
  <si>
    <t>fabrice24_z_z1_z2</t>
  </si>
  <si>
    <t>rbpl24_z_y2_y3</t>
  </si>
  <si>
    <t>cyclic6_z_x1_x5</t>
  </si>
  <si>
    <t>eco8_z_x2_x7</t>
  </si>
  <si>
    <t>eco7_z_x4_x6</t>
  </si>
  <si>
    <t>fabrice24_z_x1_y3</t>
  </si>
  <si>
    <t>dessin2_z_a20_a33</t>
  </si>
  <si>
    <t>benchmark_D1_z_x1_x4</t>
  </si>
  <si>
    <t>redeco9_z_x4_x5</t>
  </si>
  <si>
    <t>geneig_z_x4_x6</t>
  </si>
  <si>
    <t>eco9_z_x1_x9</t>
  </si>
  <si>
    <t>kin1_z_c1_c2</t>
  </si>
  <si>
    <t>dessin2_z_a30_a23</t>
  </si>
  <si>
    <t>dessin1_z_a22_a33</t>
  </si>
  <si>
    <t>filter9_z_a_m5</t>
  </si>
  <si>
    <t>dessin2_z_a21_a30</t>
  </si>
  <si>
    <t>eco8_z_x6_x7</t>
  </si>
  <si>
    <t>f633_z_U4_u3</t>
  </si>
  <si>
    <t>benchmark_D1_z_x2_x6</t>
  </si>
  <si>
    <t>dessin2_z_a20_a34</t>
  </si>
  <si>
    <t>katsura7_z_u2_u5</t>
  </si>
  <si>
    <t>matrix_z_a23_a31</t>
  </si>
  <si>
    <t>eco9_z_x3_x6</t>
  </si>
  <si>
    <t>matrix_z_a14_a41</t>
  </si>
  <si>
    <t>cassou_z_d_e</t>
  </si>
  <si>
    <t>matrix_z_a13_a33</t>
  </si>
  <si>
    <t>vermeer_z_v_x</t>
  </si>
  <si>
    <t>eco7_z_x3_x6</t>
  </si>
  <si>
    <t>redcyc6_z_y1_y5</t>
  </si>
  <si>
    <t>dessin1_z_a10_a21</t>
  </si>
  <si>
    <t>eco7_z_x1_x7</t>
  </si>
  <si>
    <t>f633_z_U5_u4</t>
  </si>
  <si>
    <t>camera1s_z_d1_q2</t>
  </si>
  <si>
    <t>eco9_z_x6_x7</t>
  </si>
  <si>
    <t>des22_24_z_a22_a32</t>
  </si>
  <si>
    <t>eco8_z_x4_x6</t>
  </si>
  <si>
    <t>rbpl24_z_x3_y1</t>
  </si>
  <si>
    <t>filter9_z_b_m5</t>
  </si>
  <si>
    <t>benchmark_D1_z_x3_x11</t>
  </si>
  <si>
    <t>rbpl24_z_x2_z3</t>
  </si>
  <si>
    <t>hcyclic6_z_x1_x3</t>
  </si>
  <si>
    <t>fabrice24_z_x1_x2</t>
  </si>
  <si>
    <t>redeco9_z_x7_x8</t>
  </si>
  <si>
    <t>matrix_z_a42_a44</t>
  </si>
  <si>
    <t>eco8_z_x3_x8</t>
  </si>
  <si>
    <t>redeco9_z_x3_x6</t>
  </si>
  <si>
    <t>rbpl24_z_x1_x2</t>
  </si>
  <si>
    <t>cpdm5_z_x2_x4</t>
  </si>
  <si>
    <t>cpdm5_z_x2_x3</t>
  </si>
  <si>
    <t>benchmark_D1_z_x6_x12</t>
  </si>
  <si>
    <t>redeco8_z_x4_x7</t>
  </si>
  <si>
    <t>redeco9_z_x4_x7</t>
  </si>
  <si>
    <t>eco9_z_x4_x6</t>
  </si>
  <si>
    <t>matrix_z_a13_a41</t>
  </si>
  <si>
    <t>matrix_z_a43_a44</t>
  </si>
  <si>
    <t>des22_24_z_a23_a34</t>
  </si>
  <si>
    <t>eco7_z_x3_x4</t>
  </si>
  <si>
    <t>f633_z_U6_u3</t>
  </si>
  <si>
    <t>kin1_z_c5_s3</t>
  </si>
  <si>
    <t>d1_z_x3_x10</t>
  </si>
  <si>
    <t>tangents_z_x2_x5</t>
  </si>
  <si>
    <t>kinema_z_z3_z6</t>
  </si>
  <si>
    <t>rbpl24_z_y1_y3</t>
  </si>
  <si>
    <t>rbpl24_z_y1_z3</t>
  </si>
  <si>
    <t>cpdm5_z_x4_x5</t>
  </si>
  <si>
    <t>fabrice24_z_x1_y2</t>
  </si>
  <si>
    <t>cyclic6_z_x1_x3</t>
  </si>
  <si>
    <t>redeco9_z_x3_x8</t>
  </si>
  <si>
    <t>eco8_z_x3_x4</t>
  </si>
  <si>
    <t>matrix_z_a13_a32</t>
  </si>
  <si>
    <t>cyclic6_z_x3_x5</t>
  </si>
  <si>
    <t>eco7_z_x5_x6</t>
  </si>
  <si>
    <t>eco9_z_x5_x9</t>
  </si>
  <si>
    <t>butcher8_z_c2_c3</t>
  </si>
  <si>
    <t>redeco9_z_x1_x7</t>
  </si>
  <si>
    <t>redeco9_z_x1_x6</t>
  </si>
  <si>
    <t>eco8_z_x6_x8</t>
  </si>
  <si>
    <t>kinema_z_z3_z9</t>
  </si>
  <si>
    <t>fabrice24_z_x2_x3</t>
  </si>
  <si>
    <t>fabrice24_z_y3_z1</t>
  </si>
  <si>
    <t>rbpl24_z_x3_z1</t>
  </si>
  <si>
    <t>eco8_z_x5_x6</t>
  </si>
  <si>
    <t>redeco8_z_x3_x4</t>
  </si>
  <si>
    <t>butcher8_z_b2_c2</t>
  </si>
  <si>
    <t>butcher_z_t_w</t>
  </si>
  <si>
    <t>fabrice24_z_x3_z1</t>
  </si>
  <si>
    <t>des22_24_z_a22_a30</t>
  </si>
  <si>
    <t>redeco9_z_x3_x4</t>
  </si>
  <si>
    <t>dessin2_z_a32_a23</t>
  </si>
  <si>
    <t>f633_z_U3_u5</t>
  </si>
  <si>
    <t>butcher_z_z_v</t>
  </si>
  <si>
    <t>kin1_z_c1_s5</t>
  </si>
  <si>
    <t>redeco8_z_x2_x6</t>
  </si>
  <si>
    <t>vermeer_z_v_y</t>
  </si>
  <si>
    <t>redeco9_z_x1_x2</t>
  </si>
  <si>
    <t>des18_3_z_a20_a32</t>
  </si>
  <si>
    <t>kin1_z_c3_s5</t>
  </si>
  <si>
    <t>matrix_z_a12_a31</t>
  </si>
  <si>
    <t>katsura6_z_u2_u4</t>
  </si>
  <si>
    <t>matrix_z_a22_a23</t>
  </si>
  <si>
    <t>matrix_z_a12_a24</t>
  </si>
  <si>
    <t>redeco9_z_x2_x3</t>
  </si>
  <si>
    <t>matrix_z_a34_a41</t>
  </si>
  <si>
    <t>d1_z_x3_x9</t>
  </si>
  <si>
    <t>f633_z_U6_u5</t>
  </si>
  <si>
    <t>cpdm5_z_x3_x4</t>
  </si>
  <si>
    <t>eco9_z_x4_x7</t>
  </si>
  <si>
    <t>hcyclic6_z_x1_x4</t>
  </si>
  <si>
    <t>dessin1_z_a10_a20</t>
  </si>
  <si>
    <t>cyclic6_z_x2_x3</t>
  </si>
  <si>
    <t>d1_z_x6_x9</t>
  </si>
  <si>
    <t>katsura7_z_u1_u3</t>
  </si>
  <si>
    <t>katsura7_z_u4_u6</t>
  </si>
  <si>
    <t>redeco9_z_x2_x8</t>
  </si>
  <si>
    <t>d1_z_x1_x8</t>
  </si>
  <si>
    <t>eco9_z_x5_x6</t>
  </si>
  <si>
    <t>d1_z_x4_x9</t>
  </si>
  <si>
    <t>benchmark_D1_z_x6_x9</t>
  </si>
  <si>
    <t>vermeer_z_u_x</t>
  </si>
  <si>
    <t>eco7_z_x4_x7</t>
  </si>
  <si>
    <t>cyclic6_z_x3_x6</t>
  </si>
  <si>
    <t>fabrice24_z_x2_z3</t>
  </si>
  <si>
    <t>matrix_z_a31_a43</t>
  </si>
  <si>
    <t>redeco9_z_x5_x7</t>
  </si>
  <si>
    <t>cassou_z_c_d</t>
  </si>
  <si>
    <t>des18_3_z_a10_a31</t>
  </si>
  <si>
    <t>extcyc5_z_x1_x4</t>
  </si>
  <si>
    <t>katsura6_z_u4_u5</t>
  </si>
  <si>
    <t>matrix_z_a24_a44</t>
  </si>
  <si>
    <t>kinema_z_z4_z7</t>
  </si>
  <si>
    <t>benchmark_D1_z_x7_x11</t>
  </si>
  <si>
    <t>rabmo_z_x1_x2</t>
  </si>
  <si>
    <t>extcyc5_z_x2_x3</t>
  </si>
  <si>
    <t>matrix_z_a34_a43</t>
  </si>
  <si>
    <t>redeco9_z_x6_x8</t>
  </si>
  <si>
    <t>f633_z_U3_u4</t>
  </si>
  <si>
    <t>katsura6_z_u0_u4</t>
  </si>
  <si>
    <t>rbpl24_z_x3_y2</t>
  </si>
  <si>
    <t>filter9_z_b_m2</t>
  </si>
  <si>
    <t>matrix_z_a13_a34</t>
  </si>
  <si>
    <t>cpdm5_z_x3_x5</t>
  </si>
  <si>
    <t>rbpl24_z_x1_y2</t>
  </si>
  <si>
    <t>speer_z_x1_x4</t>
  </si>
  <si>
    <t>filter9_z_m2_m6</t>
  </si>
  <si>
    <t>eco8_z_x4_x8</t>
  </si>
  <si>
    <t>filter9_z_m1_m6</t>
  </si>
  <si>
    <t>fabrice24_z_y1_z3</t>
  </si>
  <si>
    <t>kin1_z_s2_s6</t>
  </si>
  <si>
    <t>redeco8_z_x1_x5</t>
  </si>
  <si>
    <t>extcyc5_z_x3_x4</t>
  </si>
  <si>
    <t>des22_24_z_a20_a32</t>
  </si>
  <si>
    <t>d1_z_x3_x11</t>
  </si>
  <si>
    <t>f633_z_U5_u6</t>
  </si>
  <si>
    <t>eco8_z_x2_x3</t>
  </si>
  <si>
    <t>matrix_z_a24_a32</t>
  </si>
  <si>
    <t>f633_z_U4_u6</t>
  </si>
  <si>
    <t>eco8_z_x5_x8</t>
  </si>
  <si>
    <t>redeco9_z_x2_x6</t>
  </si>
  <si>
    <t>dessin2_z_a21_a34</t>
  </si>
  <si>
    <t>cyclic6_z_x2_x5</t>
  </si>
  <si>
    <t>matrix_z_a21_a22</t>
  </si>
  <si>
    <t>eco7_z_x2_x3</t>
  </si>
  <si>
    <t>kin1_z_c3_c6</t>
  </si>
  <si>
    <t>f633_z_U4_u4</t>
  </si>
  <si>
    <t>d1_z_x1_x6</t>
  </si>
  <si>
    <t>dessin1_z_a22_a31</t>
  </si>
  <si>
    <t>filter9_z_b_m7</t>
  </si>
  <si>
    <t>f633_z_U6_u2</t>
  </si>
  <si>
    <t>eco7_z_x3_x7</t>
  </si>
  <si>
    <t>cassou_z_c_e</t>
  </si>
  <si>
    <t>katsura7_z_u3_u6</t>
  </si>
  <si>
    <t>filter9_z_m3_m4</t>
  </si>
  <si>
    <t>benchmark_D1_z_x5_x9</t>
  </si>
  <si>
    <t>eco8_z_x1_x5</t>
  </si>
  <si>
    <t>eco8_z_x2_x8</t>
  </si>
  <si>
    <t>hcyclic6_z_x3_x4</t>
  </si>
  <si>
    <t>butcher_z_x_u</t>
  </si>
  <si>
    <t>tangents_z_x0_x5</t>
  </si>
  <si>
    <t>benchmark_D1_z_x2_x9</t>
  </si>
  <si>
    <t>extcyc5_z_x1_x2</t>
  </si>
  <si>
    <t>butcher_z_x_z</t>
  </si>
  <si>
    <t>cpdm5_z_x1_x4</t>
  </si>
  <si>
    <t>eco9_z_x6_x8</t>
  </si>
  <si>
    <t>eco8_z_x5_x7</t>
  </si>
  <si>
    <t>rabmo_z_x7_x8</t>
  </si>
  <si>
    <t>filter9_z_a_m2</t>
  </si>
  <si>
    <t>cyclic6_z_x5_x6</t>
  </si>
  <si>
    <t>matrix_z_a33_a43</t>
  </si>
  <si>
    <t>geneig_z_x2_x6</t>
  </si>
  <si>
    <t>speer_z_x2_x3</t>
  </si>
  <si>
    <t>eco9_z_x3_x7</t>
  </si>
  <si>
    <t>kinema_z_z1_z4</t>
  </si>
  <si>
    <t>eco7_z_x1_x4</t>
  </si>
  <si>
    <t>des22_24_z_a22_a34</t>
  </si>
  <si>
    <t>kin1_z_c4_s1</t>
  </si>
  <si>
    <t>speer_z_x3_beta</t>
  </si>
  <si>
    <t>matrix_z_a14_a44</t>
  </si>
  <si>
    <t>katsura6_z_u2_u6</t>
  </si>
  <si>
    <t>filter9_z_m3_m5</t>
  </si>
  <si>
    <t>kinema_z_z6_z9</t>
  </si>
  <si>
    <t>eco9_z_x2_x6</t>
  </si>
  <si>
    <t>fabrice24_z_z1_z3</t>
  </si>
  <si>
    <t>butcher_z_y_v</t>
  </si>
  <si>
    <t>dessin2_z_a20_a31</t>
  </si>
  <si>
    <t>katsura7_z_u0_u2</t>
  </si>
  <si>
    <t>camera1s_z_d3_q2</t>
  </si>
  <si>
    <t>matrix_z_a11_a31</t>
  </si>
  <si>
    <t>tangents_z_x2_x4</t>
  </si>
  <si>
    <t>rabmo_z_x5_x6</t>
  </si>
  <si>
    <t>dessin1_z_a21_a30</t>
  </si>
  <si>
    <t>eco9_z_x2_x7</t>
  </si>
  <si>
    <t>des22_24_z_a23_a32</t>
  </si>
  <si>
    <t>filter9_z_m2_m4</t>
  </si>
  <si>
    <t>eco8_z_x4_x5</t>
  </si>
  <si>
    <t>eco9_z_x1_x2</t>
  </si>
  <si>
    <t>matrix_z_a23_a42</t>
  </si>
  <si>
    <t>des18_3_z_a10_a32</t>
  </si>
  <si>
    <t>tangents_z_x1_x5</t>
  </si>
  <si>
    <t>katsura7_z_u4_u7</t>
  </si>
  <si>
    <t>katsura6_z_u3_u6</t>
  </si>
  <si>
    <t>redeco8_z_x1_x2</t>
  </si>
  <si>
    <t>eco9_z_x1_x7</t>
  </si>
  <si>
    <t>cohn2_z_x_z</t>
  </si>
  <si>
    <t>d1_z_x8_x12</t>
  </si>
  <si>
    <t>redeco8_z_x1_x3</t>
  </si>
  <si>
    <t>rbpl24_z_y1_y2</t>
  </si>
  <si>
    <t>katsura7_z_u5_u6</t>
  </si>
  <si>
    <t>katsura6_z_u0_u2</t>
  </si>
  <si>
    <t>fabrice24_z_y2_z1</t>
  </si>
  <si>
    <t>rbpl24_z_z1_z3</t>
  </si>
  <si>
    <t>eco7_z_x2_x7</t>
  </si>
  <si>
    <t>extcyc5_z_x3_x5</t>
  </si>
  <si>
    <t>kin1_z_c2_s5</t>
  </si>
  <si>
    <t>redeco9_z_x1_x8</t>
  </si>
  <si>
    <t>butcher8_z_a32_c2</t>
  </si>
  <si>
    <t>katsura7_z_u5_u7</t>
  </si>
  <si>
    <t>matrix_z_a23_a32</t>
  </si>
  <si>
    <t>chemequs_z_y2_y4</t>
  </si>
  <si>
    <t>tangents_z_x0_x3</t>
  </si>
  <si>
    <t>redeco8_z_x4_x5</t>
  </si>
  <si>
    <t>filter9_z_m1_m3</t>
  </si>
  <si>
    <t>eco7_z_x2_x4</t>
  </si>
  <si>
    <t>katsura7_z_u2_u7</t>
  </si>
  <si>
    <t>cyclic6_z_x3_x4</t>
  </si>
  <si>
    <t>dessin2_z_a32_a21</t>
  </si>
  <si>
    <t>redeco8_z_x6_x7</t>
  </si>
  <si>
    <t>extcyc5_z_x4_x5</t>
  </si>
  <si>
    <t>hcyclic6_z_x4_x5</t>
  </si>
  <si>
    <t>kin1_z_c4_c6</t>
  </si>
  <si>
    <t>cyclic6_z_x1_x6</t>
  </si>
  <si>
    <t>des22_24_z_a20_a35</t>
  </si>
  <si>
    <t>katsura6_z_u5_u6</t>
  </si>
  <si>
    <t>dessin1_z_a20_a31</t>
  </si>
  <si>
    <t>rbpl24_z_x2_z1</t>
  </si>
  <si>
    <t>d1_z_x2_x6</t>
  </si>
  <si>
    <t>matrix_z_a21_a42</t>
  </si>
  <si>
    <t>matrix_z_a14_a42</t>
  </si>
  <si>
    <t>filter9_z_b_m4</t>
  </si>
  <si>
    <t>benchmark_D1_z_x8_x12</t>
  </si>
  <si>
    <t>dessin2_z_a22_a33</t>
  </si>
  <si>
    <t>fabrice24_z_x3_y1</t>
  </si>
  <si>
    <t>matrix_z_a21_a32</t>
  </si>
  <si>
    <t>eco9_z_x4_x8</t>
  </si>
  <si>
    <t>kin1_z_c5_s2</t>
  </si>
  <si>
    <t>fabrice24_z_y3_z2</t>
  </si>
  <si>
    <t>kin1_z_c1_c4</t>
  </si>
  <si>
    <t>d1_z_x5_x9</t>
  </si>
  <si>
    <t>dessin2_z_a22_a34</t>
  </si>
  <si>
    <t>fabrice24_z_x2_y3</t>
  </si>
  <si>
    <t>dessin1_z_a21_a31</t>
  </si>
  <si>
    <t>eco9_z_x5_x7</t>
  </si>
  <si>
    <t>eco9_z_x4_x5</t>
  </si>
  <si>
    <t>katsura7_z_u0_u5</t>
  </si>
  <si>
    <t>fabrice24_z_x1_x3</t>
  </si>
  <si>
    <t>redeco9_z_x2_x7</t>
  </si>
  <si>
    <t>cpdm5_z_x2_x5</t>
  </si>
  <si>
    <t>redeco8_z_x1_x4</t>
  </si>
  <si>
    <t>dessin2_z_a20_a32</t>
  </si>
  <si>
    <t>katsura7_z_u0_u6</t>
  </si>
  <si>
    <t>fabrice24_z_y1_y2</t>
  </si>
  <si>
    <t>redeco9_z_x1_x4</t>
  </si>
  <si>
    <t>rbpl24_z_y2_z3</t>
  </si>
  <si>
    <t>filter9_z_m4_m5</t>
  </si>
  <si>
    <t>filter9_z_b_m6</t>
  </si>
  <si>
    <t>des18_3_z_a21_a30</t>
  </si>
  <si>
    <t>des18_3_z_a21_a33</t>
  </si>
  <si>
    <t>benchmark_D1_z_x7_x9</t>
  </si>
  <si>
    <t>dessin2_z_a21_a33</t>
  </si>
  <si>
    <t>hcyclic6_z_x4_x6</t>
  </si>
  <si>
    <t>matrix_z_a14_a31</t>
  </si>
  <si>
    <t>eco7_z_x3_x5</t>
  </si>
  <si>
    <t>des18_3_z_a20_a31</t>
  </si>
  <si>
    <t>camera1s_z_d2_q1</t>
  </si>
  <si>
    <t>rabmo_z_x8_x9</t>
  </si>
  <si>
    <t>eco7_z_x2_x6</t>
  </si>
  <si>
    <t>f633_z_U2_u6</t>
  </si>
  <si>
    <t>filter9_z_m6_m7</t>
  </si>
  <si>
    <t>eco8_z_x7_x8</t>
  </si>
  <si>
    <t>eco8_z_x3_x7</t>
  </si>
  <si>
    <t>hcyclic6_z_x1_x6</t>
  </si>
  <si>
    <t>katsura6_z_u4_u6</t>
  </si>
  <si>
    <t>des22_24_z_a20_a33</t>
  </si>
  <si>
    <t>redcyc6_z_y2_y3</t>
  </si>
  <si>
    <t>katsura7_z_u1_u4</t>
  </si>
  <si>
    <t>extcyc5_z_x2_x4</t>
  </si>
  <si>
    <t>redeco8_z_x3_x6</t>
  </si>
  <si>
    <t>eco8_z_x2_x6</t>
  </si>
  <si>
    <t>matrix_z_a24_a43</t>
  </si>
  <si>
    <t>eco9_z_x1_x6</t>
  </si>
  <si>
    <t>matrix_z_a12_a22</t>
  </si>
  <si>
    <t>des18_3_z_a10_a22</t>
  </si>
  <si>
    <t>dessin2_z_a21_a35</t>
  </si>
  <si>
    <t>kin1_z_s3_s5</t>
  </si>
  <si>
    <t>f633_z_U6_u4</t>
  </si>
  <si>
    <t>redeco9_z_x2_x4</t>
  </si>
  <si>
    <t>matrix_z_a11_a12</t>
  </si>
  <si>
    <t>cohn2_z_z_t</t>
  </si>
  <si>
    <t>filter9_z_b_m1</t>
  </si>
  <si>
    <t>eco8_z_x4_x7</t>
  </si>
  <si>
    <t>f633_z_U3_u3</t>
  </si>
  <si>
    <t>katsura7_z_u0_u4</t>
  </si>
  <si>
    <t>filter9_z_a_m4</t>
  </si>
  <si>
    <t>hcyclic6_z_x2_x6</t>
  </si>
  <si>
    <t>f633_z_U5_u5</t>
  </si>
  <si>
    <t>kin1_z_s3_s6</t>
  </si>
  <si>
    <t>cyclic6_z_x4_x5</t>
  </si>
  <si>
    <t>redeco8_z_x4_x6</t>
  </si>
  <si>
    <t>cpdm5_z_x1_x5</t>
  </si>
  <si>
    <t>speer_z_x4_n</t>
  </si>
  <si>
    <t>eco9_z_x2_x9</t>
  </si>
  <si>
    <t>tangents_z_x1_x4</t>
  </si>
  <si>
    <t>redeco9_z_x5_x8</t>
  </si>
  <si>
    <t>speer_z_x1_x2</t>
  </si>
  <si>
    <t>rbpl24_z_y1_z2</t>
  </si>
  <si>
    <t>des18_3_z_a22_a30</t>
  </si>
  <si>
    <t>matrix_z_a22_a32</t>
  </si>
  <si>
    <t>katsura6_z_u3_u4</t>
  </si>
  <si>
    <t>dessin2_z_a32_a22</t>
  </si>
  <si>
    <t>eco7_z_x1_x3</t>
  </si>
  <si>
    <t>des22_24_z_a22_a31</t>
  </si>
  <si>
    <t>eco9_z_x1_x3</t>
  </si>
  <si>
    <t>des18_3_z_a10_a20</t>
  </si>
  <si>
    <t>hcyclic6_z_x2_x4</t>
  </si>
  <si>
    <t>filter9_z_m3_m7</t>
  </si>
  <si>
    <t>fabrice24_z_y1_y3</t>
  </si>
  <si>
    <t>eco9_z_x2_x5</t>
  </si>
  <si>
    <t>kin1_z_s4_s6</t>
  </si>
  <si>
    <t>matrix_z_a32_a33</t>
  </si>
  <si>
    <t>des22_24_z_a22_a35</t>
  </si>
  <si>
    <t>benchmark_D1_z_x1_x6</t>
  </si>
  <si>
    <t>dessin1_z_a20_a32</t>
  </si>
  <si>
    <t>eco8_z_x2_x4</t>
  </si>
  <si>
    <t>matrix_z_a11_a13</t>
  </si>
  <si>
    <t>rbpl24_z_x1_z2</t>
  </si>
  <si>
    <t>tangents_z_x0_x4</t>
  </si>
  <si>
    <t>katsura7_z_u4_u5</t>
  </si>
  <si>
    <t>speer_z_x1_x3</t>
  </si>
  <si>
    <t>rbpl24_z_x2_y3</t>
  </si>
  <si>
    <t>benchmark_D1_z_x5_x11</t>
  </si>
  <si>
    <t>fabrice24_z_y2_z3</t>
  </si>
  <si>
    <t>butcher_z_x_v</t>
  </si>
  <si>
    <t>kinema_z_z2_z8</t>
  </si>
  <si>
    <t>redcyc6_z_y1_y3</t>
  </si>
  <si>
    <t>f633_z_U2_u2</t>
  </si>
  <si>
    <t>benchmark_D1_z_x2_x4</t>
  </si>
  <si>
    <t>matrix_z_a12_a21</t>
  </si>
  <si>
    <t>rbpl24_z_z1_z2</t>
  </si>
  <si>
    <t>d1_z_x2_x8</t>
  </si>
  <si>
    <t>eco9_z_x2_x8</t>
  </si>
  <si>
    <t>eco7_z_x6_x7</t>
  </si>
  <si>
    <t>speer_z_x3_x4</t>
  </si>
  <si>
    <t>matrix_z_a34_a42</t>
  </si>
  <si>
    <t>fabrice24_z_y2_y3</t>
  </si>
  <si>
    <t>cohn2_z_y_t</t>
  </si>
  <si>
    <t>vermeer_z_v_u</t>
  </si>
  <si>
    <t>redcyc6_z_y4_y5</t>
  </si>
  <si>
    <t>rbpl24_z_y3_z1</t>
  </si>
  <si>
    <t>redeco9_z_x2_x5</t>
  </si>
  <si>
    <t>tangents_z_x0_x2</t>
  </si>
  <si>
    <t>dessin1_z_a10_a30</t>
  </si>
  <si>
    <t>eco8_z_x1_x6</t>
  </si>
  <si>
    <t>eco8_z_x1_x4</t>
  </si>
  <si>
    <t>d1_z_x7_x11</t>
  </si>
  <si>
    <t>katsura6_z_u1_u5</t>
  </si>
  <si>
    <t>kin1_z_c2_c6</t>
  </si>
  <si>
    <t>redeco8_z_x3_x7</t>
  </si>
  <si>
    <t>rabmo_z_x3_x4</t>
  </si>
  <si>
    <t>matrix_z_a12_a41</t>
  </si>
  <si>
    <t>tangents_z_x2_x3</t>
  </si>
  <si>
    <t>des22_24_z_a21_a30</t>
  </si>
  <si>
    <t>matrix_z_a11_a41</t>
  </si>
  <si>
    <t>des22_24_z_a21_a35</t>
  </si>
  <si>
    <t>rbpl24_z_x2_x3</t>
  </si>
  <si>
    <t>des18_3_z_a21_a31</t>
  </si>
  <si>
    <t>dessin2_z_a22_a30</t>
  </si>
  <si>
    <t>benchmark_D1_z_x7_x10</t>
  </si>
  <si>
    <t>kin1_z_c5_s4</t>
  </si>
  <si>
    <t>des22_24_z_a23_a30</t>
  </si>
  <si>
    <t>tangents_z_x0_x1</t>
  </si>
  <si>
    <t>redeco9_z_x1_x5</t>
  </si>
  <si>
    <t>redeco9_z_x4_x6</t>
  </si>
  <si>
    <t>eco9_z_x8_x9</t>
  </si>
  <si>
    <t>d1_z_x6_x12</t>
  </si>
  <si>
    <t>f633_z_U2_u4</t>
  </si>
  <si>
    <t>butcher8_z_A_B</t>
  </si>
  <si>
    <t>benchmark_D1_z_x2_x8</t>
  </si>
  <si>
    <t>eco9_z_x3_x5</t>
  </si>
  <si>
    <t>filter9_z_m4_m7</t>
  </si>
  <si>
    <t>benchmark_D1_z_x10_x11</t>
  </si>
  <si>
    <t>rbpl24_z_x3_z2</t>
  </si>
  <si>
    <t>filter9_z_m2_m3</t>
  </si>
  <si>
    <t>f633_z_U4_u2</t>
  </si>
  <si>
    <t>cohn2_z_y_z</t>
  </si>
  <si>
    <t>des22_24_z_a22_a33</t>
  </si>
  <si>
    <t>eco9_z_x2_x4</t>
  </si>
  <si>
    <t>redeco8_z_x2_x7</t>
  </si>
  <si>
    <t>f633_z_U3_u2</t>
  </si>
  <si>
    <t>hcyclic6_z_x3_x5</t>
  </si>
  <si>
    <t>benchmark_D1_z_x3_x9</t>
  </si>
  <si>
    <t>des22_24_z_a23_a35</t>
  </si>
  <si>
    <t>filter9_z_m1_m5</t>
  </si>
  <si>
    <t>rbpl24_z_z2_z3</t>
  </si>
  <si>
    <t>dessin2_z_a20_a35</t>
  </si>
  <si>
    <t>speer_z_x3_n</t>
  </si>
  <si>
    <t>filter9_z_m5_m7</t>
  </si>
  <si>
    <t>hcyclic6_z_x3_x6</t>
  </si>
  <si>
    <t>katsura7_z_u1_u5</t>
  </si>
  <si>
    <t>matrix_z_a13_a21</t>
  </si>
  <si>
    <t>eco7_z_x4_x5</t>
  </si>
  <si>
    <t>eco9_z_x1_x5</t>
  </si>
  <si>
    <t>dessin1_z_a10_a33</t>
  </si>
  <si>
    <t>f633_z_U3_u6</t>
  </si>
  <si>
    <t>matrix_z_a11_a14</t>
  </si>
  <si>
    <t>matrix_z_a22_a42</t>
  </si>
  <si>
    <t>katsura6_z_u1_u6</t>
  </si>
  <si>
    <t>eco8_z_x1_x8</t>
  </si>
  <si>
    <t>camera1s_z_d3_q3</t>
  </si>
  <si>
    <t>katsura6_z_u1_u3</t>
  </si>
  <si>
    <t>filter9_z_m2_m5</t>
  </si>
  <si>
    <t>f633_z_U5_u2</t>
  </si>
  <si>
    <t>eco7_z_x1_x5</t>
  </si>
  <si>
    <t>dessin1_z_a21_a32</t>
  </si>
  <si>
    <t>kinema_z_z5_z8</t>
  </si>
  <si>
    <t>d1_z_x4_x12</t>
  </si>
  <si>
    <t>eco9_z_x3_x9</t>
  </si>
  <si>
    <t>matrix_z_a41_a44</t>
  </si>
  <si>
    <t>eco9_z_x2_x3</t>
  </si>
  <si>
    <t>fabrice24_z_y1_z2</t>
  </si>
  <si>
    <t>eco9_z_x4_x9</t>
  </si>
  <si>
    <t>eco9_z_x1_x4</t>
  </si>
  <si>
    <t>eco8_z_x2_x5</t>
  </si>
  <si>
    <t>matrix_z_a22_a24</t>
  </si>
  <si>
    <t>eco9_z_x5_x8</t>
  </si>
  <si>
    <t>d1_z_x10_x11</t>
  </si>
  <si>
    <t>filter9_z_m2_m7</t>
  </si>
  <si>
    <t>speer_z_beta_n</t>
  </si>
  <si>
    <t>butcher8_z_a32_c3</t>
  </si>
  <si>
    <t>eco9_z_x1_x8</t>
  </si>
  <si>
    <t>speer_z_x1_beta</t>
  </si>
  <si>
    <t>rbpl24_z_y3_z2</t>
  </si>
  <si>
    <t>katsura7_z_u6_u7</t>
  </si>
  <si>
    <t>dessin2_z_a23_a33</t>
  </si>
  <si>
    <t>filter9_z_m1_m7</t>
  </si>
  <si>
    <t>redeco8_z_x1_x6</t>
  </si>
  <si>
    <t>des18_3_z_a22_a32</t>
  </si>
  <si>
    <t>des22_24_z_a21_a33</t>
  </si>
  <si>
    <t>cyclic6_z_x2_x6</t>
  </si>
  <si>
    <t>butcher8_z_b3_c3</t>
  </si>
  <si>
    <t>des22_24_z_a21_a31</t>
  </si>
  <si>
    <t>eco8_z_x1_x3</t>
  </si>
  <si>
    <t>dessin1_z_a22_a32</t>
  </si>
  <si>
    <t>cyclic6_z_x1_x4</t>
  </si>
  <si>
    <t>benchmark_D1_z_x3_x10</t>
  </si>
  <si>
    <t>katsura6_z_u0_u3</t>
  </si>
  <si>
    <t>matrix_z_a12_a23</t>
  </si>
  <si>
    <t>d1_z_x5_x11</t>
  </si>
  <si>
    <t>benchmark_D1_z_x8_x9</t>
  </si>
  <si>
    <t>des22_24_z_a20_a34</t>
  </si>
  <si>
    <t>d1_z_x2_x4</t>
  </si>
  <si>
    <t>eco7_z_x1_x2</t>
  </si>
  <si>
    <t>matrix_z_a23_a33</t>
  </si>
  <si>
    <t>des22_24_z_a21_a34</t>
  </si>
  <si>
    <t>dessin2_z_a31_a22</t>
  </si>
  <si>
    <t>f633_z_U6_u6</t>
  </si>
  <si>
    <t>redcyc6_z_y2_y4</t>
  </si>
  <si>
    <t>hcyclic6_z_x1_x2</t>
  </si>
  <si>
    <t>redcyc6_z_y3_y4</t>
  </si>
  <si>
    <t>kin1_z_c2_s1</t>
  </si>
  <si>
    <t>matrix_z_a31_a33</t>
  </si>
  <si>
    <t>des18_3_z_a10_a33</t>
  </si>
  <si>
    <t>eco7_z_x1_x6</t>
  </si>
  <si>
    <t>extcyc5_z_x1_x5</t>
  </si>
  <si>
    <t>dessin2_z_a23_a35</t>
  </si>
  <si>
    <t>filter9_z_a_m6</t>
  </si>
  <si>
    <t>filter9_z_m1_m4</t>
  </si>
  <si>
    <t>matrix_z_a14_a21</t>
  </si>
  <si>
    <t>kin1_z_c4_s5</t>
  </si>
  <si>
    <t>eco9_z_x3_x8</t>
  </si>
  <si>
    <t>cohn2_z_x_t</t>
  </si>
  <si>
    <t>matrix_z_a11_a21</t>
  </si>
  <si>
    <t>redeco8_z_x5_x6</t>
  </si>
  <si>
    <t>extcyc5_z_x2_x5</t>
  </si>
  <si>
    <t>filter9_z_m5_m6</t>
  </si>
  <si>
    <t>eco8_z_x3_x5</t>
  </si>
  <si>
    <t>hcyclic6_z_x5_x6</t>
  </si>
  <si>
    <t>benchmark_D1_z_x1_x8</t>
  </si>
  <si>
    <t>error</t>
  </si>
  <si>
    <t>rbpl24_z_x1_y3_z2</t>
  </si>
  <si>
    <t>filter9_z_b_m1_m2</t>
  </si>
  <si>
    <t>hcyclic6_z_x1_x4_x6</t>
  </si>
  <si>
    <t>butcher8_z_a32_c2_c3</t>
  </si>
  <si>
    <t>filter9_z_m4_m5_m6</t>
  </si>
  <si>
    <t>eco8_z_x6_x7_x8</t>
  </si>
  <si>
    <t>redcyc6_z_y1_y4_y5</t>
  </si>
  <si>
    <t>extcyc5_z_x1_x4_x5</t>
  </si>
  <si>
    <t>hcyclic6_z_x1_x2_x4</t>
  </si>
  <si>
    <t>extcyc5_z_x3_x4_x5</t>
  </si>
  <si>
    <t>eco9_z_x1_x7_x9</t>
  </si>
  <si>
    <t>hcyclic6_z_x1_x2_x5</t>
  </si>
  <si>
    <t>eco8_z_x2_x3_x8</t>
  </si>
  <si>
    <t>eco7_z_x1_x2_x7</t>
  </si>
  <si>
    <t>benchmark_D1_z_x5_x10_x11</t>
  </si>
  <si>
    <t>eco8_z_x1_x6_x8</t>
  </si>
  <si>
    <t>filter9_z_a_b_m6</t>
  </si>
  <si>
    <t>speer_z_x2_x3_n</t>
  </si>
  <si>
    <t>fabrice24_z_x3_y1_z2</t>
  </si>
  <si>
    <t>kin1_z_c1_c4_s5</t>
  </si>
  <si>
    <t>redcyc6_z_y1_y3_y5</t>
  </si>
  <si>
    <t>hcyclic6_z_x2_x4_x6</t>
  </si>
  <si>
    <t>speer_z_x1_x2_x4</t>
  </si>
  <si>
    <t>eco9_z_x2_x3_x9</t>
  </si>
  <si>
    <t>dessin1_z_a10_a21_a32</t>
  </si>
  <si>
    <t>eco8_z_x2_x7_x8</t>
  </si>
  <si>
    <t>eco7_z_x4_x5_x7</t>
  </si>
  <si>
    <t>filter9_z_b_m2_m3</t>
  </si>
  <si>
    <t>hcyclic6_z_x1_x3_x5</t>
  </si>
  <si>
    <t>eco8_z_x3_x7_x8</t>
  </si>
  <si>
    <t>eco9_z_x2_x6_x9</t>
  </si>
  <si>
    <t>redcyc6_z_y1_y2_y5</t>
  </si>
  <si>
    <t>eco8_z_x3_x5_x8</t>
  </si>
  <si>
    <t>eco9_z_x2_x5_x9</t>
  </si>
  <si>
    <t>eco7_z_x1_x4_x7</t>
  </si>
  <si>
    <t>filter9_z_m1_m5_m7</t>
  </si>
  <si>
    <t>filter9_z_b_m2_m6</t>
  </si>
  <si>
    <t>butcher8_z_a32_b3_c2</t>
  </si>
  <si>
    <t>eco7_z_x3_x6_x7</t>
  </si>
  <si>
    <t>dessin1_z_a10_a22_a32</t>
  </si>
  <si>
    <t>hcyclic6_z_x2_x3_x5</t>
  </si>
  <si>
    <t>fabrice24_z_x2_y1_z3</t>
  </si>
  <si>
    <t>redcyc6_z_y2_y3_y5</t>
  </si>
  <si>
    <t>des18_3_z_a10_a20_a32</t>
  </si>
  <si>
    <t>redcyc6_z_y1_y2_y4</t>
  </si>
  <si>
    <t>kin1_z_c5_s2_s6</t>
  </si>
  <si>
    <t>filter9_z_m1_m3_m7</t>
  </si>
  <si>
    <t>hcyclic6_z_x2_x4_x5</t>
  </si>
  <si>
    <t>filter9_z_a_m2_m7</t>
  </si>
  <si>
    <t>cyclic6_z_x3_x4_x5</t>
  </si>
  <si>
    <t>redcyc6_z_y3_y4_y5</t>
  </si>
  <si>
    <t>extcyc5_z_x1_x2_x5</t>
  </si>
  <si>
    <t>eco8_z_x3_x6_x8</t>
  </si>
  <si>
    <t>hcyclic6_z_x2_x3_x6</t>
  </si>
  <si>
    <t>hcyclic6_z_x1_x3_x4</t>
  </si>
  <si>
    <t>benchmark_D1_z_x3_x10_x11</t>
  </si>
  <si>
    <t>fabrice24_z_x2_y3_z1</t>
  </si>
  <si>
    <t>redcyc6_z_y2_y4_y5</t>
  </si>
  <si>
    <t>eco9_z_x5_x6_x9</t>
  </si>
  <si>
    <t>cyclic6_z_x1_x2_x4</t>
  </si>
  <si>
    <t>dessin1_z_a10_a20_a33</t>
  </si>
  <si>
    <t>eco9_z_x7_x8_x9</t>
  </si>
  <si>
    <t>eco7_z_x2_x5_x7</t>
  </si>
  <si>
    <t>butcher_z_z_u_v</t>
  </si>
  <si>
    <t>eco8_z_x1_x2_x8</t>
  </si>
  <si>
    <t>eco9_z_x2_x8_x9</t>
  </si>
  <si>
    <t>hcyclic6_z_x4_x5_x6</t>
  </si>
  <si>
    <t>rbpl24_z_x3_y2_z1</t>
  </si>
  <si>
    <t>cyclic6_z_x3_x4_x6</t>
  </si>
  <si>
    <t>eco7_z_x3_x5_x7</t>
  </si>
  <si>
    <t>eco7_z_x5_x6_x7</t>
  </si>
  <si>
    <t>speer_z_x1_x3_x4</t>
  </si>
  <si>
    <t>des18_3_z_a10_a21_a33</t>
  </si>
  <si>
    <t>cyclic6_z_x1_x4_x5</t>
  </si>
  <si>
    <t>dessin1_z_a10_a22_a33</t>
  </si>
  <si>
    <t>filter9_z_m5_m6_m7</t>
  </si>
  <si>
    <t>filter9_z_a_m4_m5</t>
  </si>
  <si>
    <t>speer_z_x1_x2_x3</t>
  </si>
  <si>
    <t>fabrice24_z_x3_y2_z1</t>
  </si>
  <si>
    <t>hcyclic6_z_x3_x4_x5</t>
  </si>
  <si>
    <t>filter9_z_b_m5_m6</t>
  </si>
  <si>
    <t>speer_z_x2_x4_beta</t>
  </si>
  <si>
    <t>eco9_z_x2_x4_x9</t>
  </si>
  <si>
    <t>cyclic6_z_x1_x2_x3</t>
  </si>
  <si>
    <t>dessin1_z_a10_a21_a33</t>
  </si>
  <si>
    <t>speer_z_x1_x4_beta</t>
  </si>
  <si>
    <t>extcyc5_z_x1_x3_x5</t>
  </si>
  <si>
    <t>extcyc5_z_x2_x3_x4</t>
  </si>
  <si>
    <t>extcyc5_z_x1_x2_x3</t>
  </si>
  <si>
    <t>des18_3_z_a10_a22_a33</t>
  </si>
  <si>
    <t>cyclic6_z_x2_x5_x6</t>
  </si>
  <si>
    <t>dessin1_z_a10_a20_a32</t>
  </si>
  <si>
    <t>eco9_z_x5_x7_x9</t>
  </si>
  <si>
    <t>filter9_z_b_m5_m7</t>
  </si>
  <si>
    <t>eco9_z_x1_x5_x9</t>
  </si>
  <si>
    <t>speer_z_x1_x4_n</t>
  </si>
  <si>
    <t>eco9_z_x1_x8_x9</t>
  </si>
  <si>
    <t>eco9_z_x1_x6_x9</t>
  </si>
  <si>
    <t>cyclic6_z_x1_x3_x6</t>
  </si>
  <si>
    <t>cohn2_z_x_y_t</t>
  </si>
  <si>
    <t>filter9_z_m1_m2_m4</t>
  </si>
  <si>
    <t>des18_3_z_a10_a21_a32</t>
  </si>
  <si>
    <t>speer_z_x2_x4_n</t>
  </si>
  <si>
    <t>hcyclic6_z_x2_x3_x4</t>
  </si>
  <si>
    <t>filter9_z_m3_m5_m7</t>
  </si>
  <si>
    <t>cyclic6_z_x1_x3_x4</t>
  </si>
  <si>
    <t>speer_z_x3_x4_n</t>
  </si>
  <si>
    <t>eco9_z_x4_x7_x9</t>
  </si>
  <si>
    <t>kin1_z_c5_s4_s6</t>
  </si>
  <si>
    <t>eco7_z_x2_x6_x7</t>
  </si>
  <si>
    <t>speer_z_x1_x2_n</t>
  </si>
  <si>
    <t>eco9_z_x1_x2_x9</t>
  </si>
  <si>
    <t>speer_z_x3_x4_beta</t>
  </si>
  <si>
    <t>filter9_z_a_m5_m7</t>
  </si>
  <si>
    <t>d1_z_x3_x10_x11</t>
  </si>
  <si>
    <t>hcyclic6_z_x1_x5_x6</t>
  </si>
  <si>
    <t>dessin1_z_a10_a21_a31</t>
  </si>
  <si>
    <t>redcyc6_z_y1_y2_y3</t>
  </si>
  <si>
    <t>speer_z_x2_x3_beta</t>
  </si>
  <si>
    <t>eco8_z_x4_x7_x8</t>
  </si>
  <si>
    <t>rbpl24_z_x2_y1_z3</t>
  </si>
  <si>
    <t>cohn2_z_y_z_t</t>
  </si>
  <si>
    <t>cohn2_z_x_y_z</t>
  </si>
  <si>
    <t>filter9_z_a_b_m4</t>
  </si>
  <si>
    <t>eco9_z_x4_x6_x9</t>
  </si>
  <si>
    <t>eco9_z_x1_x3_x9</t>
  </si>
  <si>
    <t>eco9_z_x3_x4_x9</t>
  </si>
  <si>
    <t>speer_z_x4_beta_n</t>
  </si>
  <si>
    <t>filter9_z_b_m3_m4</t>
  </si>
  <si>
    <t>cohn2_z_x_z_t</t>
  </si>
  <si>
    <t>filter9_z_m1_m3_m4</t>
  </si>
  <si>
    <t>fabrice24_z_x1_y2_z3</t>
  </si>
  <si>
    <t>des18_3_z_a10_a20_a33</t>
  </si>
  <si>
    <t>filter9_z_b_m1_m4</t>
  </si>
  <si>
    <t>filter9_z_m1_m3_m6</t>
  </si>
  <si>
    <t>benchmark_D1_z_x2_x4_x9</t>
  </si>
  <si>
    <t>hcyclic6_z_x1_x4_x5</t>
  </si>
  <si>
    <t>eco8_z_x3_x4_x8</t>
  </si>
  <si>
    <t>d1_z_x2_x6_x9</t>
  </si>
  <si>
    <t>eco9_z_x4_x8_x9</t>
  </si>
  <si>
    <t>hcyclic6_z_x1_x2_x3</t>
  </si>
  <si>
    <t>eco9_z_x1_x4_x9</t>
  </si>
  <si>
    <t>extcyc5_z_x1_x2_x4</t>
  </si>
  <si>
    <t>cassou_z_c_d_e</t>
  </si>
  <si>
    <t>cyclic6_z_x1_x2_x6</t>
  </si>
  <si>
    <t>eco8_z_x1_x5_x8</t>
  </si>
  <si>
    <t>eco8_z_x5_x6_x8</t>
  </si>
  <si>
    <t>d1_z_x2_x4_x9</t>
  </si>
  <si>
    <t>eco8_z_x4_x6_x8</t>
  </si>
  <si>
    <t>filter9_z_a_m2_m5</t>
  </si>
  <si>
    <t>cyclic6_z_x1_x2_x5</t>
  </si>
  <si>
    <t>d1_z_x5_x10_x11</t>
  </si>
  <si>
    <t>dessin1_z_a10_a22_a31</t>
  </si>
  <si>
    <t>hcyclic6_z_x1_x2_x6</t>
  </si>
  <si>
    <t>cyclic6_z_x2_x4_x6</t>
  </si>
  <si>
    <t>filter9_z_m1_m3_m5</t>
  </si>
  <si>
    <t>des18_3_z_a10_a22_a31</t>
  </si>
  <si>
    <t>redcyc6_z_y2_y3_y4</t>
  </si>
  <si>
    <t>cyclic6_z_x4_x5_x6</t>
  </si>
  <si>
    <t>filter9_z_b_m1_m6</t>
  </si>
  <si>
    <t>speer_z_x1_x2_beta</t>
  </si>
  <si>
    <t>cyclic6_z_x1_x3_x5</t>
  </si>
  <si>
    <t>eco7_z_x1_x5_x7</t>
  </si>
  <si>
    <t>eco7_z_x1_x3_x7</t>
  </si>
  <si>
    <t>eco9_z_x6_x7_x9</t>
  </si>
  <si>
    <t>cyclic6_z_x1_x4_x6</t>
  </si>
  <si>
    <t>eco8_z_x2_x6_x8</t>
  </si>
  <si>
    <t>eco9_z_x6_x8_x9</t>
  </si>
  <si>
    <t>extcyc5_z_x1_x3_x4</t>
  </si>
  <si>
    <t>butcher8_z_a32_b3_c3</t>
  </si>
  <si>
    <t>benchmark_D1_z_x7_x10_x11</t>
  </si>
  <si>
    <t>eco9_z_x5_x8_x9</t>
  </si>
  <si>
    <t>filter9_z_m2_m5_m7</t>
  </si>
  <si>
    <t>hcyclic6_z_x3_x5_x6</t>
  </si>
  <si>
    <t>cyclic6_z_x2_x4_x5</t>
  </si>
  <si>
    <t>filter9_z_a_m5_m6</t>
  </si>
  <si>
    <t>rbpl24_z_x2_y3_z1</t>
  </si>
  <si>
    <t>rbpl24_z_x1_y2_z3</t>
  </si>
  <si>
    <t>filter9_z_m1_m2_m3</t>
  </si>
  <si>
    <t>kin1_z_c1_c2_s5</t>
  </si>
  <si>
    <t>filter9_z_b_m6_m7</t>
  </si>
  <si>
    <t>hcyclic6_z_x1_x3_x6</t>
  </si>
  <si>
    <t>kin1_z_c5_s3_s6</t>
  </si>
  <si>
    <t>eco8_z_x2_x4_x8</t>
  </si>
  <si>
    <t>filter9_z_b_m3_m6</t>
  </si>
  <si>
    <t>filter9_z_b_m1_m3</t>
  </si>
  <si>
    <t>des18_3_z_a10_a22_a30</t>
  </si>
  <si>
    <t>extcyc5_z_x2_x4_x5</t>
  </si>
  <si>
    <t>cyclic6_z_x2_x3_x6</t>
  </si>
  <si>
    <t>fabrice24_z_x1_y3_z2</t>
  </si>
  <si>
    <t>extcyc5_z_x2_x3_x5</t>
  </si>
  <si>
    <t>eco9_z_x3_x6_x9</t>
  </si>
  <si>
    <t>filter9_z_m4_m6_m7</t>
  </si>
  <si>
    <t>butcher_z_x_u_v</t>
  </si>
  <si>
    <t>kin1_z_c1_c3_s5</t>
  </si>
  <si>
    <t>d1_z_x2_x8_x9</t>
  </si>
  <si>
    <t>rabmo_z_x7_x8_x9</t>
  </si>
  <si>
    <t>eco8_z_x1_x7_x8</t>
  </si>
  <si>
    <t>speer_z_x2_x3_x4</t>
  </si>
  <si>
    <t>speer_z_x1_beta_n</t>
  </si>
  <si>
    <t>eco7_z_x1_x6_x7</t>
  </si>
  <si>
    <t>rbpl24_z_x3_y1_z2</t>
  </si>
  <si>
    <t>eco8_z_x4_x5_x8</t>
  </si>
  <si>
    <t>des18_3_z_a10_a22_a32</t>
  </si>
  <si>
    <t>benchmark_D1_z_x2_x6_x9</t>
  </si>
  <si>
    <t>dessin1_z_a10_a22_a30</t>
  </si>
  <si>
    <t>filter9_z_a_b_m2</t>
  </si>
  <si>
    <t>eco9_z_x3_x5_x9</t>
  </si>
  <si>
    <t>eco7_z_x2_x3_x7</t>
  </si>
  <si>
    <t>filter9_z_m2_m4_m6</t>
  </si>
  <si>
    <t>benchmark_D1_z_x2_x8_x9</t>
  </si>
  <si>
    <t>filter9_z_b_m2_m4</t>
  </si>
  <si>
    <t>cyclic6_z_x3_x5_x6</t>
  </si>
  <si>
    <t>filter9_z_a_m2_m6</t>
  </si>
  <si>
    <t>hcyclic6_z_x2_x5_x6</t>
  </si>
  <si>
    <t>d1_z_x7_x10_x11</t>
  </si>
  <si>
    <t>filter9_z_m2_m3_m4</t>
  </si>
  <si>
    <t>eco8_z_x1_x4_x8</t>
  </si>
  <si>
    <t>eco9_z_x2_x7_x9</t>
  </si>
  <si>
    <t>eco7_z_x3_x4_x7</t>
  </si>
  <si>
    <t>speer_z_x1_x3_n</t>
  </si>
  <si>
    <t>hcyclic6_z_x3_x4_x6</t>
  </si>
  <si>
    <t>eco8_z_x1_x3_x8</t>
  </si>
  <si>
    <t>speer_z_x3_beta_n</t>
  </si>
  <si>
    <t>butcher_z_x_z_v</t>
  </si>
  <si>
    <t>eco8_z_x5_x7_x8</t>
  </si>
  <si>
    <t>eco7_z_x2_x4_x7</t>
  </si>
  <si>
    <t>cyclic6_z_x2_x3_x4</t>
  </si>
  <si>
    <t>eco9_z_x4_x5_x9</t>
  </si>
  <si>
    <t>cyclic6_z_x2_x3_x5</t>
  </si>
  <si>
    <t>eco8_z_x2_x5_x8</t>
  </si>
  <si>
    <t>butcher_z_x_z_u</t>
  </si>
  <si>
    <t>filter9_z_a_m4_m7</t>
  </si>
  <si>
    <t>eco7_z_x4_x6_x7</t>
  </si>
  <si>
    <t>eco9_z_x3_x8_x9</t>
  </si>
  <si>
    <t>speer_z_x1_x3_beta</t>
  </si>
  <si>
    <t>redcyc6_z_y1_y3_y4</t>
  </si>
  <si>
    <t>filter9_z_a_m4_m6</t>
  </si>
  <si>
    <t>filter9_z_m4_m5_m7</t>
  </si>
  <si>
    <t>cyclic6_z_x1_x5_x6</t>
  </si>
  <si>
    <t>butcher8_z_b3_c2_c3</t>
  </si>
  <si>
    <t>filter9_z_a_m6_m7</t>
  </si>
  <si>
    <t>des18_3_z_a10_a21_a31</t>
  </si>
  <si>
    <t>speer_z_x2_beta_n</t>
  </si>
  <si>
    <t>eco9_z_x3_x7_x9</t>
  </si>
  <si>
    <t>filter9_z_b_m1_m2_m3</t>
  </si>
  <si>
    <t>redcyc6_z_y1_y2_y3_y5</t>
  </si>
  <si>
    <t>extcyc5_z_x1_x2_x3_x5</t>
  </si>
  <si>
    <t>filter9_z_b_m5_m6_m7</t>
  </si>
  <si>
    <t>cyclic6_z_x3_x4_x5_x6</t>
  </si>
  <si>
    <t>speer_z_x1_x2_beta_n</t>
  </si>
  <si>
    <t>butcher_z_x_z_u_v</t>
  </si>
  <si>
    <t>hcyclic6_z_x1_x2_x5_x6</t>
  </si>
  <si>
    <t>cyclic6_z_x2_x3_x4_x5</t>
  </si>
  <si>
    <t>speer_z_x2_x4_beta_n</t>
  </si>
  <si>
    <t>hcyclic6_z_x1_x3_x4_x5</t>
  </si>
  <si>
    <t>extcyc5_z_x1_x2_x3_x4</t>
  </si>
  <si>
    <t>speer_z_x1_x2_x3_n</t>
  </si>
  <si>
    <t>cyclic6_z_x1_x2_x3_x5</t>
  </si>
  <si>
    <t>filter9_z_a_m4_m5_m6</t>
  </si>
  <si>
    <t>filter9_z_a_m4_m5_m7</t>
  </si>
  <si>
    <t>speer_z_x1_x3_x4_beta</t>
  </si>
  <si>
    <t>hcyclic6_z_x2_x4_x5_x6</t>
  </si>
  <si>
    <t>extcyc5_z_x1_x2_x4_x5</t>
  </si>
  <si>
    <t>hcyclic6_z_x1_x2_x4_x5</t>
  </si>
  <si>
    <t>cyclic6_z_x1_x3_x5_x6</t>
  </si>
  <si>
    <t>cyclic6_z_x1_x2_x3_x4</t>
  </si>
  <si>
    <t>cyclic6_z_x1_x2_x5_x6</t>
  </si>
  <si>
    <t>hcyclic6_z_x1_x2_x3_x6</t>
  </si>
  <si>
    <t>filter9_z_b_m1_m3_m4</t>
  </si>
  <si>
    <t>speer_z_x3_x4_beta_n</t>
  </si>
  <si>
    <t>extcyc5_z_x1_x3_x4_x5</t>
  </si>
  <si>
    <t>cyclic6_z_x1_x4_x5_x6</t>
  </si>
  <si>
    <t>cyclic6_z_x1_x2_x3_x6</t>
  </si>
  <si>
    <t>speer_z_x2_x3_x4_n</t>
  </si>
  <si>
    <t>speer_z_x1_x2_x4_beta</t>
  </si>
  <si>
    <t>extcyc5_z_x2_x3_x4_x5</t>
  </si>
  <si>
    <t>butcher8_z_a32_b3_c2_c3</t>
  </si>
  <si>
    <t>redcyc6_z_y2_y3_y4_y5</t>
  </si>
  <si>
    <t>speer_z_x1_x4_beta_n</t>
  </si>
  <si>
    <t>hcyclic6_z_x3_x4_x5_x6</t>
  </si>
  <si>
    <t>filter9_z_m1_m3_m5_m7</t>
  </si>
  <si>
    <t>hcyclic6_z_x1_x3_x4_x6</t>
  </si>
  <si>
    <t>redcyc6_z_y1_y3_y4_y5</t>
  </si>
  <si>
    <t>cyclic6_z_x1_x3_x4_x5</t>
  </si>
  <si>
    <t>redcyc6_z_y1_y2_y4_y5</t>
  </si>
  <si>
    <t>hcyclic6_z_x2_x3_x4_x6</t>
  </si>
  <si>
    <t>filter9_z_b_m1_m2_m4</t>
  </si>
  <si>
    <t>filter9_z_a_m5_m6_m7</t>
  </si>
  <si>
    <t>filter9_z_b_m1_m3_m6</t>
  </si>
  <si>
    <t>speer_z_x1_x2_x3_beta</t>
  </si>
  <si>
    <t>filter9_z_m1_m2_m3_m4</t>
  </si>
  <si>
    <t>filter9_z_b_m2_m3_m4</t>
  </si>
  <si>
    <t>redcyc6_z_y1_y2_y3_y4</t>
  </si>
  <si>
    <t>hcyclic6_z_x1_x2_x3_x5</t>
  </si>
  <si>
    <t>cyclic6_z_x1_x2_x4_x6</t>
  </si>
  <si>
    <t>cyclic6_z_x1_x3_x4_x6</t>
  </si>
  <si>
    <t>hcyclic6_z_x1_x2_x4_x6</t>
  </si>
  <si>
    <t>speer_z_x1_x2_x4_n</t>
  </si>
  <si>
    <t>speer_z_x1_x3_x4_n</t>
  </si>
  <si>
    <t>cyclic6_z_x2_x3_x4_x6</t>
  </si>
  <si>
    <t>hcyclic6_z_x1_x3_x5_x6</t>
  </si>
  <si>
    <t>speer_z_x2_x3_x4_beta</t>
  </si>
  <si>
    <t>hcyclic6_z_x2_x3_x5_x6</t>
  </si>
  <si>
    <t>filter9_z_a_m4_m6_m7</t>
  </si>
  <si>
    <t>speer_z_x1_x2_x3_x4</t>
  </si>
  <si>
    <t>filter9_z_m4_m5_m6_m7</t>
  </si>
  <si>
    <t>hcyclic6_z_x2_x3_x4_x5</t>
  </si>
  <si>
    <t>cyclic6_z_x2_x3_x5_x6</t>
  </si>
  <si>
    <t>speer_z_x2_x3_beta_n</t>
  </si>
  <si>
    <t>hcyclic6_z_x1_x2_x3_x4</t>
  </si>
  <si>
    <t>cyclic6_z_x2_x4_x5_x6</t>
  </si>
  <si>
    <t>hcyclic6_z_x1_x4_x5_x6</t>
  </si>
  <si>
    <t>cyclic6_z_x1_x2_x4_x5</t>
  </si>
  <si>
    <t>filter9_z_a_b_m2_m6</t>
  </si>
  <si>
    <t>filter9_z_a_m2_m5_m7</t>
  </si>
  <si>
    <t>speer_z_x1_x3_beta_n</t>
  </si>
  <si>
    <t>hcyclic6_z_x1_x2_x3_x5_x6</t>
  </si>
  <si>
    <t>hcyclic6_z_x1_x2_x4_x5_x6</t>
  </si>
  <si>
    <t>cyclic6_z_x1_x2_x3_x4_x6</t>
  </si>
  <si>
    <t>cyclic6_z_x1_x2_x3_x5_x6</t>
  </si>
  <si>
    <t>cyclic6_z_x1_x2_x3_x4_x5</t>
  </si>
  <si>
    <t>speer_z_x1_x2_x3_x4_beta</t>
  </si>
  <si>
    <t>speer_z_x1_x2_x4_beta_n</t>
  </si>
  <si>
    <t>filter9_z_b_m1_m2_m3_m4</t>
  </si>
  <si>
    <t>cyclic6_z_x1_x2_x4_x5_x6</t>
  </si>
  <si>
    <t>speer_z_x1_x2_x3_x4_n</t>
  </si>
  <si>
    <t>speer_z_x1_x2_x3_beta_n</t>
  </si>
  <si>
    <t>hcyclic6_z_x1_x2_x3_x4_x6</t>
  </si>
  <si>
    <t>hcyclic6_z_x1_x3_x4_x5_x6</t>
  </si>
  <si>
    <t>hcyclic6_z_x1_x2_x3_x4_x5</t>
  </si>
  <si>
    <t>filter9_z_a_m4_m5_m6_m7</t>
  </si>
  <si>
    <t>speer_z_x2_x3_x4_beta_n</t>
  </si>
  <si>
    <t>cyclic6_z_x1_x3_x4_x5_x6</t>
  </si>
  <si>
    <t>hcyclic6_z_x2_x3_x4_x5_x6</t>
  </si>
  <si>
    <t>speer_z_x1_x3_x4_beta_n</t>
  </si>
  <si>
    <t>redcyc6_z_y1_y2_y3_y4_y5</t>
  </si>
  <si>
    <t>cyclic6_z_x2_x3_x4_x5_x6</t>
  </si>
  <si>
    <t>extcyc5_z_x1_x2_x3_x4_x5</t>
  </si>
  <si>
    <t>hcyclic6_z_x1_x2_x3_x4_x5_x6</t>
  </si>
  <si>
    <t>speer_z_x1_x2_x3_x4_beta_n</t>
  </si>
  <si>
    <t>cyclic6_z_x1_x2_x3_x4_x5_x6</t>
  </si>
  <si>
    <t>matrix_z_a12_a42</t>
  </si>
  <si>
    <t>butcher_z_y_t</t>
  </si>
  <si>
    <t>baseline_solve_time_sec</t>
  </si>
  <si>
    <t>large_solve_time_sec</t>
  </si>
  <si>
    <t>medium_solve_time_sec</t>
  </si>
  <si>
    <t>signed_solve_time_sec</t>
  </si>
  <si>
    <t>small_solve_time_sec</t>
  </si>
  <si>
    <t>Average solve time (sec)</t>
  </si>
  <si>
    <t>Correlation matrix</t>
  </si>
  <si>
    <t>baseline</t>
  </si>
  <si>
    <t>large</t>
  </si>
  <si>
    <t>medium</t>
  </si>
  <si>
    <t>signed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</si>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</sst>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yaroslavaugustus/Desktop/old_book.xlsx" TargetMode="External"/><Relationship Id="rId1" Type="http://schemas.openxmlformats.org/officeDocument/2006/relationships/externalLinkPath" Target="/Users/yaroslavaugustus/Desktop/old_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-baseline"/>
      <sheetName val="results-large"/>
      <sheetName val="results-medium"/>
      <sheetName val="results-signed"/>
      <sheetName val="results-small"/>
      <sheetName val="comparison"/>
    </sheetNames>
    <sheetDataSet>
      <sheetData sheetId="0">
        <row r="1">
          <cell r="A1" t="str">
            <v>name</v>
          </cell>
          <cell r="B1" t="str">
            <v>status</v>
          </cell>
          <cell r="C1" t="str">
            <v>solve_time_sec</v>
          </cell>
        </row>
        <row r="2">
          <cell r="A2" t="str">
            <v>eco8</v>
          </cell>
          <cell r="B2" t="str">
            <v>ok</v>
          </cell>
          <cell r="C2">
            <v>36.158915042877197</v>
          </cell>
        </row>
        <row r="3">
          <cell r="A3" t="str">
            <v>eco11</v>
          </cell>
          <cell r="B3" t="str">
            <v>timeout</v>
          </cell>
          <cell r="C3" t="str">
            <v>-</v>
          </cell>
        </row>
        <row r="4">
          <cell r="A4" t="str">
            <v>jcf26</v>
          </cell>
          <cell r="B4" t="str">
            <v>ok</v>
          </cell>
          <cell r="C4">
            <v>264.64051365852362</v>
          </cell>
        </row>
        <row r="5">
          <cell r="A5" t="str">
            <v>redeco9</v>
          </cell>
          <cell r="B5" t="str">
            <v>ok</v>
          </cell>
          <cell r="C5">
            <v>38.956564426422119</v>
          </cell>
        </row>
        <row r="6">
          <cell r="A6" t="str">
            <v>redeco10</v>
          </cell>
          <cell r="B6" t="str">
            <v>ok</v>
          </cell>
          <cell r="C6">
            <v>274.73450613021851</v>
          </cell>
        </row>
        <row r="7">
          <cell r="A7" t="str">
            <v>hairer1</v>
          </cell>
          <cell r="B7" t="str">
            <v>ok</v>
          </cell>
          <cell r="C7">
            <v>5.7632207870483398E-2</v>
          </cell>
        </row>
        <row r="8">
          <cell r="A8" t="str">
            <v>ilias_k_2</v>
          </cell>
          <cell r="B8" t="str">
            <v>timeout</v>
          </cell>
          <cell r="C8" t="str">
            <v>-</v>
          </cell>
        </row>
        <row r="9">
          <cell r="A9" t="str">
            <v>dessin1</v>
          </cell>
          <cell r="B9" t="str">
            <v>ok</v>
          </cell>
          <cell r="C9">
            <v>5.3499529361724854</v>
          </cell>
        </row>
        <row r="10">
          <cell r="A10" t="str">
            <v>pinchon1</v>
          </cell>
          <cell r="B10" t="str">
            <v>ok</v>
          </cell>
          <cell r="C10">
            <v>2189.1673905849461</v>
          </cell>
        </row>
        <row r="11">
          <cell r="A11" t="str">
            <v>hcyclic8</v>
          </cell>
          <cell r="B11" t="str">
            <v>timeout</v>
          </cell>
          <cell r="C11" t="str">
            <v>-</v>
          </cell>
        </row>
        <row r="12">
          <cell r="A12" t="str">
            <v>kin1</v>
          </cell>
          <cell r="B12" t="str">
            <v>ok</v>
          </cell>
          <cell r="C12">
            <v>62.350943326950073</v>
          </cell>
        </row>
        <row r="13">
          <cell r="A13" t="str">
            <v>issac97</v>
          </cell>
          <cell r="B13" t="str">
            <v>ok</v>
          </cell>
          <cell r="C13">
            <v>0.18502926826477051</v>
          </cell>
        </row>
        <row r="14">
          <cell r="A14" t="str">
            <v>camera1s</v>
          </cell>
          <cell r="B14" t="str">
            <v>ok</v>
          </cell>
          <cell r="C14">
            <v>2.0045819282531738</v>
          </cell>
        </row>
        <row r="15">
          <cell r="A15" t="str">
            <v>tangents</v>
          </cell>
          <cell r="B15" t="str">
            <v>ok</v>
          </cell>
          <cell r="C15">
            <v>2.6958248615264888</v>
          </cell>
        </row>
        <row r="16">
          <cell r="A16" t="str">
            <v>hemmecke</v>
          </cell>
          <cell r="B16" t="str">
            <v>ok</v>
          </cell>
          <cell r="C16">
            <v>5.7525634765625E-2</v>
          </cell>
        </row>
        <row r="17">
          <cell r="A17" t="str">
            <v>reimer5</v>
          </cell>
          <cell r="B17" t="str">
            <v>ok</v>
          </cell>
          <cell r="C17">
            <v>142.59690117836001</v>
          </cell>
        </row>
        <row r="18">
          <cell r="A18" t="str">
            <v>hcyclic7</v>
          </cell>
          <cell r="B18" t="str">
            <v>timeout</v>
          </cell>
          <cell r="C18" t="str">
            <v>-</v>
          </cell>
        </row>
        <row r="19">
          <cell r="A19" t="str">
            <v>hairer3</v>
          </cell>
          <cell r="B19" t="str">
            <v>ok</v>
          </cell>
          <cell r="C19">
            <v>5605.9635195732117</v>
          </cell>
        </row>
        <row r="20">
          <cell r="A20" t="str">
            <v>chandra4</v>
          </cell>
          <cell r="B20" t="str">
            <v>ok</v>
          </cell>
          <cell r="C20">
            <v>6.3111305236816406E-2</v>
          </cell>
        </row>
        <row r="21">
          <cell r="A21" t="str">
            <v>liu</v>
          </cell>
          <cell r="B21" t="str">
            <v>ok</v>
          </cell>
          <cell r="C21">
            <v>7.9634189605712891E-2</v>
          </cell>
        </row>
        <row r="22">
          <cell r="A22" t="str">
            <v>ku10</v>
          </cell>
          <cell r="B22" t="str">
            <v>ok</v>
          </cell>
          <cell r="C22">
            <v>0.22558784484863281</v>
          </cell>
        </row>
        <row r="23">
          <cell r="A23" t="str">
            <v>benchmark_D1</v>
          </cell>
          <cell r="B23" t="str">
            <v>ok</v>
          </cell>
          <cell r="C23">
            <v>111.2369992733002</v>
          </cell>
        </row>
        <row r="24">
          <cell r="A24" t="str">
            <v>katsura6</v>
          </cell>
          <cell r="B24" t="str">
            <v>ok</v>
          </cell>
          <cell r="C24">
            <v>11.12966418266296</v>
          </cell>
        </row>
        <row r="25">
          <cell r="A25" t="str">
            <v>hietarinta1</v>
          </cell>
          <cell r="B25" t="str">
            <v>ok</v>
          </cell>
          <cell r="C25">
            <v>338.67073392868042</v>
          </cell>
        </row>
        <row r="26">
          <cell r="A26" t="str">
            <v>extcyc5</v>
          </cell>
          <cell r="B26" t="str">
            <v>ok</v>
          </cell>
          <cell r="C26">
            <v>85.549098491668701</v>
          </cell>
        </row>
        <row r="27">
          <cell r="A27" t="str">
            <v>quadgrid</v>
          </cell>
          <cell r="B27" t="str">
            <v>ok</v>
          </cell>
          <cell r="C27">
            <v>4.3279409408569343E-2</v>
          </cell>
        </row>
        <row r="28">
          <cell r="A28" t="str">
            <v>lanconelli</v>
          </cell>
          <cell r="B28" t="str">
            <v>ok</v>
          </cell>
          <cell r="C28">
            <v>3.183293342590332E-2</v>
          </cell>
        </row>
        <row r="29">
          <cell r="A29" t="str">
            <v>heart</v>
          </cell>
          <cell r="B29" t="str">
            <v>ok</v>
          </cell>
          <cell r="C29">
            <v>0.1136252880096436</v>
          </cell>
        </row>
        <row r="30">
          <cell r="A30" t="str">
            <v>mckay</v>
          </cell>
          <cell r="B30" t="str">
            <v>timeout</v>
          </cell>
          <cell r="C30" t="str">
            <v>-</v>
          </cell>
        </row>
        <row r="31">
          <cell r="A31" t="str">
            <v>ducos8</v>
          </cell>
          <cell r="B31" t="str">
            <v>timeout</v>
          </cell>
          <cell r="C31" t="str">
            <v>-</v>
          </cell>
        </row>
        <row r="32">
          <cell r="A32" t="str">
            <v>comb3000s</v>
          </cell>
          <cell r="B32" t="str">
            <v>ok</v>
          </cell>
          <cell r="C32">
            <v>0.25487184524536127</v>
          </cell>
        </row>
        <row r="33">
          <cell r="A33" t="str">
            <v>chemequs</v>
          </cell>
          <cell r="B33" t="str">
            <v>ok</v>
          </cell>
          <cell r="C33">
            <v>1.9314866065978999</v>
          </cell>
        </row>
        <row r="34">
          <cell r="A34" t="str">
            <v>puma</v>
          </cell>
          <cell r="B34" t="str">
            <v>ok</v>
          </cell>
          <cell r="C34">
            <v>0.1052744388580322</v>
          </cell>
        </row>
        <row r="35">
          <cell r="A35" t="str">
            <v>benchmark_i1</v>
          </cell>
          <cell r="B35" t="str">
            <v>ok</v>
          </cell>
          <cell r="C35">
            <v>429.95021200180048</v>
          </cell>
        </row>
        <row r="36">
          <cell r="A36" t="str">
            <v>vermeer</v>
          </cell>
          <cell r="B36" t="str">
            <v>ok</v>
          </cell>
          <cell r="C36">
            <v>1.546737432479858</v>
          </cell>
        </row>
        <row r="37">
          <cell r="A37" t="str">
            <v>test</v>
          </cell>
          <cell r="B37" t="str">
            <v>ok</v>
          </cell>
          <cell r="C37">
            <v>2.4365663528442379E-2</v>
          </cell>
        </row>
        <row r="38">
          <cell r="A38" t="str">
            <v>chandra5</v>
          </cell>
          <cell r="B38" t="str">
            <v>ok</v>
          </cell>
          <cell r="C38">
            <v>0.207921028137207</v>
          </cell>
        </row>
        <row r="39">
          <cell r="A39" t="str">
            <v>f966</v>
          </cell>
          <cell r="B39" t="str">
            <v>timeout</v>
          </cell>
          <cell r="C39" t="str">
            <v>-</v>
          </cell>
        </row>
        <row r="40">
          <cell r="A40" t="str">
            <v>redeco11</v>
          </cell>
          <cell r="B40" t="str">
            <v>ok</v>
          </cell>
          <cell r="C40">
            <v>2103.4495780467992</v>
          </cell>
        </row>
        <row r="41">
          <cell r="A41" t="str">
            <v>katsura10</v>
          </cell>
          <cell r="B41" t="str">
            <v>timeout</v>
          </cell>
          <cell r="C41" t="str">
            <v>-</v>
          </cell>
        </row>
        <row r="42">
          <cell r="A42" t="str">
            <v>kotsireas</v>
          </cell>
          <cell r="B42" t="str">
            <v>ok</v>
          </cell>
          <cell r="C42">
            <v>294.06167674064642</v>
          </cell>
        </row>
        <row r="43">
          <cell r="A43" t="str">
            <v>mickey</v>
          </cell>
          <cell r="B43" t="str">
            <v>ok</v>
          </cell>
          <cell r="C43">
            <v>3.6096572875976562E-4</v>
          </cell>
        </row>
        <row r="44">
          <cell r="A44" t="str">
            <v>geneig</v>
          </cell>
          <cell r="B44" t="str">
            <v>ok</v>
          </cell>
          <cell r="C44">
            <v>1.012799978256226</v>
          </cell>
        </row>
        <row r="45">
          <cell r="A45" t="str">
            <v>comb3000</v>
          </cell>
          <cell r="B45" t="str">
            <v>ok</v>
          </cell>
          <cell r="C45">
            <v>0.20580077171325681</v>
          </cell>
        </row>
        <row r="46">
          <cell r="A46" t="str">
            <v>f633</v>
          </cell>
          <cell r="B46" t="str">
            <v>ok</v>
          </cell>
          <cell r="C46">
            <v>2.0160150527954102</v>
          </cell>
        </row>
        <row r="47">
          <cell r="A47" t="str">
            <v>chemequ</v>
          </cell>
          <cell r="B47" t="str">
            <v>ok</v>
          </cell>
          <cell r="C47">
            <v>0.91871786117553711</v>
          </cell>
        </row>
        <row r="48">
          <cell r="A48" t="str">
            <v>des22_24</v>
          </cell>
          <cell r="B48" t="str">
            <v>ok</v>
          </cell>
          <cell r="C48">
            <v>8.0014758110046387</v>
          </cell>
        </row>
        <row r="49">
          <cell r="A49" t="str">
            <v>i1</v>
          </cell>
          <cell r="B49" t="str">
            <v>ok</v>
          </cell>
          <cell r="C49">
            <v>405.7902398109436</v>
          </cell>
        </row>
        <row r="50">
          <cell r="A50" t="str">
            <v>augot</v>
          </cell>
          <cell r="B50" t="str">
            <v>timeout</v>
          </cell>
          <cell r="C50" t="str">
            <v>-</v>
          </cell>
        </row>
        <row r="51">
          <cell r="A51" t="str">
            <v>redcyc8</v>
          </cell>
          <cell r="B51" t="str">
            <v>timeout</v>
          </cell>
          <cell r="C51" t="str">
            <v>-</v>
          </cell>
        </row>
        <row r="52">
          <cell r="A52" t="str">
            <v>noon7</v>
          </cell>
          <cell r="B52" t="str">
            <v>ok</v>
          </cell>
          <cell r="C52">
            <v>6392.1883924007416</v>
          </cell>
        </row>
        <row r="53">
          <cell r="A53" t="str">
            <v>ilias13</v>
          </cell>
          <cell r="B53" t="str">
            <v>timeout</v>
          </cell>
          <cell r="C53" t="str">
            <v>-</v>
          </cell>
        </row>
        <row r="54">
          <cell r="A54" t="str">
            <v>extcyc7</v>
          </cell>
          <cell r="B54" t="str">
            <v>timeout</v>
          </cell>
          <cell r="C54" t="str">
            <v>-</v>
          </cell>
        </row>
        <row r="55">
          <cell r="A55" t="str">
            <v>reimer7</v>
          </cell>
          <cell r="B55" t="str">
            <v>timeout</v>
          </cell>
          <cell r="C55" t="str">
            <v>-</v>
          </cell>
        </row>
        <row r="56">
          <cell r="A56" t="str">
            <v>reif</v>
          </cell>
          <cell r="B56" t="str">
            <v>ok</v>
          </cell>
          <cell r="C56">
            <v>0.1530959606170654</v>
          </cell>
        </row>
        <row r="57">
          <cell r="A57" t="str">
            <v>eco7</v>
          </cell>
          <cell r="B57" t="str">
            <v>ok</v>
          </cell>
          <cell r="C57">
            <v>5.0505294799804688</v>
          </cell>
        </row>
        <row r="58">
          <cell r="A58" t="str">
            <v>chandra6</v>
          </cell>
          <cell r="B58" t="str">
            <v>ok</v>
          </cell>
          <cell r="C58">
            <v>0.96565580368041992</v>
          </cell>
        </row>
        <row r="59">
          <cell r="A59" t="str">
            <v>butcher</v>
          </cell>
          <cell r="B59" t="str">
            <v>ok</v>
          </cell>
          <cell r="C59">
            <v>4.4917075634002694</v>
          </cell>
        </row>
        <row r="60">
          <cell r="A60" t="str">
            <v>hcyclic5</v>
          </cell>
          <cell r="B60" t="str">
            <v>ok</v>
          </cell>
          <cell r="C60">
            <v>0.31450104713439941</v>
          </cell>
        </row>
        <row r="61">
          <cell r="A61" t="str">
            <v>morgenstern</v>
          </cell>
          <cell r="B61" t="str">
            <v>ok</v>
          </cell>
          <cell r="C61">
            <v>0.32743644714355469</v>
          </cell>
        </row>
        <row r="62">
          <cell r="A62" t="str">
            <v>cyclic7</v>
          </cell>
          <cell r="B62" t="str">
            <v>timeout</v>
          </cell>
          <cell r="C62" t="str">
            <v>-</v>
          </cell>
        </row>
        <row r="63">
          <cell r="A63" t="str">
            <v>cohn2</v>
          </cell>
          <cell r="B63" t="str">
            <v>ok</v>
          </cell>
          <cell r="C63">
            <v>6.7018795013427734</v>
          </cell>
        </row>
        <row r="64">
          <cell r="A64" t="str">
            <v>filter9</v>
          </cell>
          <cell r="B64" t="str">
            <v>ok</v>
          </cell>
          <cell r="C64">
            <v>205.13161683082581</v>
          </cell>
        </row>
        <row r="65">
          <cell r="A65" t="str">
            <v>dessin2</v>
          </cell>
          <cell r="B65" t="str">
            <v>ok</v>
          </cell>
          <cell r="C65">
            <v>6.535388708114624</v>
          </cell>
        </row>
        <row r="66">
          <cell r="A66" t="str">
            <v>reimer8</v>
          </cell>
          <cell r="B66" t="str">
            <v>timeout</v>
          </cell>
          <cell r="C66" t="str">
            <v>-</v>
          </cell>
        </row>
        <row r="67">
          <cell r="A67" t="str">
            <v>redcyc5</v>
          </cell>
          <cell r="B67" t="str">
            <v>ok</v>
          </cell>
          <cell r="C67">
            <v>0.47553706169128418</v>
          </cell>
        </row>
        <row r="68">
          <cell r="A68" t="str">
            <v>noon8</v>
          </cell>
          <cell r="B68" t="str">
            <v>timeout</v>
          </cell>
          <cell r="C68" t="str">
            <v>-</v>
          </cell>
        </row>
        <row r="69">
          <cell r="A69" t="str">
            <v>ilias12</v>
          </cell>
          <cell r="B69" t="str">
            <v>timeout</v>
          </cell>
          <cell r="C69" t="str">
            <v>-</v>
          </cell>
        </row>
        <row r="70">
          <cell r="A70" t="str">
            <v>katsura7</v>
          </cell>
          <cell r="B70" t="str">
            <v>ok</v>
          </cell>
          <cell r="C70">
            <v>90.896047592163086</v>
          </cell>
        </row>
        <row r="71">
          <cell r="A71" t="str">
            <v>cyclic5</v>
          </cell>
          <cell r="B71" t="str">
            <v>ok</v>
          </cell>
          <cell r="C71">
            <v>0.48538017272949219</v>
          </cell>
        </row>
        <row r="72">
          <cell r="A72" t="str">
            <v>hf744</v>
          </cell>
          <cell r="B72" t="str">
            <v>ok</v>
          </cell>
          <cell r="C72">
            <v>306.74943614006042</v>
          </cell>
        </row>
        <row r="73">
          <cell r="A73" t="str">
            <v>redcyc6</v>
          </cell>
          <cell r="B73" t="str">
            <v>ok</v>
          </cell>
          <cell r="C73">
            <v>19.690487623214722</v>
          </cell>
        </row>
        <row r="74">
          <cell r="A74" t="str">
            <v>cpdm5</v>
          </cell>
          <cell r="B74" t="str">
            <v>ok</v>
          </cell>
          <cell r="C74">
            <v>84.911496162414551</v>
          </cell>
        </row>
        <row r="75">
          <cell r="A75" t="str">
            <v>noon9</v>
          </cell>
          <cell r="B75" t="str">
            <v>timeout</v>
          </cell>
          <cell r="C75" t="str">
            <v>-</v>
          </cell>
        </row>
        <row r="76">
          <cell r="A76" t="str">
            <v>ducos10</v>
          </cell>
          <cell r="B76" t="str">
            <v>timeout</v>
          </cell>
          <cell r="C76" t="str">
            <v>-</v>
          </cell>
        </row>
        <row r="77">
          <cell r="A77" t="str">
            <v>aubry2</v>
          </cell>
          <cell r="B77" t="str">
            <v>timeout</v>
          </cell>
          <cell r="C77" t="str">
            <v>-</v>
          </cell>
        </row>
        <row r="78">
          <cell r="A78" t="str">
            <v>hawes4</v>
          </cell>
          <cell r="B78" t="str">
            <v>timeout</v>
          </cell>
          <cell r="C78" t="str">
            <v>-</v>
          </cell>
        </row>
        <row r="79">
          <cell r="A79" t="str">
            <v>d1</v>
          </cell>
          <cell r="B79" t="str">
            <v>ok</v>
          </cell>
          <cell r="C79">
            <v>65.343093156814575</v>
          </cell>
        </row>
        <row r="80">
          <cell r="A80" t="str">
            <v>redeco7</v>
          </cell>
          <cell r="B80" t="str">
            <v>ok</v>
          </cell>
          <cell r="C80">
            <v>0.7572178840637207</v>
          </cell>
        </row>
        <row r="81">
          <cell r="A81" t="str">
            <v>el44</v>
          </cell>
          <cell r="B81" t="str">
            <v>ok</v>
          </cell>
          <cell r="C81">
            <v>4957.5373883247375</v>
          </cell>
        </row>
        <row r="82">
          <cell r="A82" t="str">
            <v>extcyc6</v>
          </cell>
          <cell r="B82" t="str">
            <v>timeout</v>
          </cell>
          <cell r="C82" t="str">
            <v>-</v>
          </cell>
        </row>
        <row r="83">
          <cell r="A83" t="str">
            <v>rbpl</v>
          </cell>
          <cell r="B83" t="str">
            <v>ok</v>
          </cell>
          <cell r="C83">
            <v>369.18428444862371</v>
          </cell>
        </row>
        <row r="84">
          <cell r="A84" t="str">
            <v>noon5</v>
          </cell>
          <cell r="B84" t="str">
            <v>ok</v>
          </cell>
          <cell r="C84">
            <v>13.07046508789062</v>
          </cell>
        </row>
        <row r="85">
          <cell r="A85" t="str">
            <v>hcyclic6</v>
          </cell>
          <cell r="B85" t="str">
            <v>ok</v>
          </cell>
          <cell r="C85">
            <v>5.9414043426513672</v>
          </cell>
        </row>
        <row r="86">
          <cell r="A86" t="str">
            <v>katsura9</v>
          </cell>
          <cell r="B86" t="str">
            <v>timeout</v>
          </cell>
          <cell r="C86" t="str">
            <v>-</v>
          </cell>
        </row>
        <row r="87">
          <cell r="A87" t="str">
            <v>assur44</v>
          </cell>
          <cell r="B87" t="str">
            <v>ok</v>
          </cell>
          <cell r="C87">
            <v>427.0883674621582</v>
          </cell>
        </row>
        <row r="88">
          <cell r="A88" t="str">
            <v>cohn3</v>
          </cell>
          <cell r="B88" t="str">
            <v>ok</v>
          </cell>
          <cell r="C88">
            <v>1977.0453145504</v>
          </cell>
        </row>
        <row r="89">
          <cell r="A89" t="str">
            <v>eco9</v>
          </cell>
          <cell r="B89" t="str">
            <v>ok</v>
          </cell>
          <cell r="C89">
            <v>249.79613471031189</v>
          </cell>
        </row>
        <row r="90">
          <cell r="A90" t="str">
            <v>eco12</v>
          </cell>
          <cell r="B90" t="str">
            <v>timeout</v>
          </cell>
          <cell r="C90" t="str">
            <v>-</v>
          </cell>
        </row>
        <row r="91">
          <cell r="A91" t="str">
            <v>rbpl24</v>
          </cell>
          <cell r="B91" t="str">
            <v>ok</v>
          </cell>
          <cell r="C91">
            <v>135.84874248504639</v>
          </cell>
        </row>
        <row r="92">
          <cell r="A92" t="str">
            <v>solotarev</v>
          </cell>
          <cell r="B92" t="str">
            <v>ok</v>
          </cell>
          <cell r="C92">
            <v>2.013707160949707E-2</v>
          </cell>
        </row>
        <row r="93">
          <cell r="A93" t="str">
            <v>lichtblau</v>
          </cell>
          <cell r="B93" t="str">
            <v>ok</v>
          </cell>
          <cell r="C93">
            <v>1.2127366065978999</v>
          </cell>
        </row>
        <row r="94">
          <cell r="A94" t="str">
            <v>ilias_k_3</v>
          </cell>
          <cell r="B94" t="str">
            <v>timeout</v>
          </cell>
          <cell r="C94" t="str">
            <v>-</v>
          </cell>
        </row>
        <row r="95">
          <cell r="A95" t="str">
            <v>des18_3</v>
          </cell>
          <cell r="B95" t="str">
            <v>ok</v>
          </cell>
          <cell r="C95">
            <v>5.8773384094238281</v>
          </cell>
        </row>
        <row r="96">
          <cell r="A96" t="str">
            <v>redcyc7</v>
          </cell>
          <cell r="B96" t="str">
            <v>timeout</v>
          </cell>
          <cell r="C96" t="str">
            <v>-</v>
          </cell>
        </row>
        <row r="97">
          <cell r="A97" t="str">
            <v>redeco8</v>
          </cell>
          <cell r="B97" t="str">
            <v>ok</v>
          </cell>
          <cell r="C97">
            <v>6.2061581611633301</v>
          </cell>
        </row>
        <row r="98">
          <cell r="A98" t="str">
            <v>hunecke</v>
          </cell>
          <cell r="B98" t="str">
            <v>ok</v>
          </cell>
          <cell r="C98">
            <v>9.0794563293457031E-3</v>
          </cell>
        </row>
        <row r="99">
          <cell r="A99" t="str">
            <v>sparse5</v>
          </cell>
          <cell r="B99" t="str">
            <v>ok</v>
          </cell>
          <cell r="C99">
            <v>9.1876983642578125E-3</v>
          </cell>
        </row>
        <row r="100">
          <cell r="A100" t="str">
            <v>lorentz</v>
          </cell>
          <cell r="B100" t="str">
            <v>ok</v>
          </cell>
          <cell r="C100">
            <v>4.715275764465332E-2</v>
          </cell>
        </row>
        <row r="101">
          <cell r="A101" t="str">
            <v>butcher8</v>
          </cell>
          <cell r="B101" t="str">
            <v>ok</v>
          </cell>
          <cell r="C101">
            <v>32.559746742248542</v>
          </cell>
        </row>
        <row r="102">
          <cell r="A102" t="str">
            <v>redeco12</v>
          </cell>
          <cell r="B102" t="str">
            <v>timeout</v>
          </cell>
          <cell r="C102" t="str">
            <v>-</v>
          </cell>
        </row>
        <row r="103">
          <cell r="A103" t="str">
            <v>katsura8</v>
          </cell>
          <cell r="B103" t="str">
            <v>ok</v>
          </cell>
          <cell r="C103">
            <v>518.70079445838928</v>
          </cell>
        </row>
        <row r="104">
          <cell r="A104" t="str">
            <v>uteshev_bikker</v>
          </cell>
          <cell r="B104" t="str">
            <v>ok</v>
          </cell>
          <cell r="C104">
            <v>0.69060969352722168</v>
          </cell>
        </row>
        <row r="105">
          <cell r="A105" t="str">
            <v>kinema</v>
          </cell>
          <cell r="B105" t="str">
            <v>ok</v>
          </cell>
          <cell r="C105">
            <v>11.702724456787109</v>
          </cell>
        </row>
        <row r="106">
          <cell r="A106" t="str">
            <v>f744</v>
          </cell>
          <cell r="B106" t="str">
            <v>ok</v>
          </cell>
          <cell r="C106">
            <v>361.5987982749939</v>
          </cell>
        </row>
        <row r="107">
          <cell r="A107" t="str">
            <v>cyclic8</v>
          </cell>
          <cell r="B107" t="str">
            <v>timeout</v>
          </cell>
          <cell r="C107" t="str">
            <v>-</v>
          </cell>
        </row>
        <row r="108">
          <cell r="A108" t="str">
            <v>ducos7_5</v>
          </cell>
          <cell r="B108" t="str">
            <v>timeout</v>
          </cell>
          <cell r="C108" t="str">
            <v>-</v>
          </cell>
        </row>
        <row r="109">
          <cell r="A109" t="str">
            <v>ducos7_3</v>
          </cell>
          <cell r="B109" t="str">
            <v>ok</v>
          </cell>
          <cell r="C109">
            <v>6642.0598745346069</v>
          </cell>
        </row>
        <row r="110">
          <cell r="A110" t="str">
            <v>el50</v>
          </cell>
          <cell r="B110" t="str">
            <v>timeout</v>
          </cell>
          <cell r="C110" t="str">
            <v>-</v>
          </cell>
        </row>
        <row r="111">
          <cell r="A111" t="str">
            <v>reimer4</v>
          </cell>
          <cell r="B111" t="str">
            <v>ok</v>
          </cell>
          <cell r="C111">
            <v>7.3291137218475342</v>
          </cell>
        </row>
        <row r="112">
          <cell r="A112" t="str">
            <v>rabmo</v>
          </cell>
          <cell r="B112" t="str">
            <v>ok</v>
          </cell>
          <cell r="C112">
            <v>3.687181711196899</v>
          </cell>
        </row>
        <row r="113">
          <cell r="A113" t="str">
            <v>caprasse</v>
          </cell>
          <cell r="B113" t="str">
            <v>ok</v>
          </cell>
          <cell r="C113">
            <v>0.13330698013305661</v>
          </cell>
        </row>
        <row r="114">
          <cell r="A114" t="str">
            <v>eco10</v>
          </cell>
          <cell r="B114" t="str">
            <v>ok</v>
          </cell>
          <cell r="C114">
            <v>2188.861278295517</v>
          </cell>
        </row>
        <row r="115">
          <cell r="A115" t="str">
            <v>conform1</v>
          </cell>
          <cell r="B115" t="str">
            <v>ok</v>
          </cell>
          <cell r="C115">
            <v>4.8931121826171882E-2</v>
          </cell>
        </row>
        <row r="116">
          <cell r="A116" t="str">
            <v>f855</v>
          </cell>
          <cell r="B116" t="str">
            <v>ok</v>
          </cell>
          <cell r="C116">
            <v>3374.6676442623138</v>
          </cell>
        </row>
        <row r="117">
          <cell r="A117" t="str">
            <v>extcyc8</v>
          </cell>
          <cell r="B117" t="str">
            <v>timeout</v>
          </cell>
          <cell r="C117" t="str">
            <v>-</v>
          </cell>
        </row>
        <row r="118">
          <cell r="A118" t="str">
            <v>cyclic6</v>
          </cell>
          <cell r="B118" t="str">
            <v>ok</v>
          </cell>
          <cell r="C118">
            <v>22.50072002410889</v>
          </cell>
        </row>
        <row r="119">
          <cell r="A119" t="str">
            <v>hf855</v>
          </cell>
          <cell r="B119" t="str">
            <v>ok</v>
          </cell>
          <cell r="C119">
            <v>6334.5469579696664</v>
          </cell>
        </row>
        <row r="120">
          <cell r="A120" t="str">
            <v>hairer2</v>
          </cell>
          <cell r="B120" t="str">
            <v>ok</v>
          </cell>
          <cell r="C120">
            <v>1145.5205428600309</v>
          </cell>
        </row>
        <row r="121">
          <cell r="A121" t="str">
            <v>reimer6</v>
          </cell>
          <cell r="B121" t="str">
            <v>ok</v>
          </cell>
          <cell r="C121">
            <v>1009.477729320526</v>
          </cell>
        </row>
        <row r="122">
          <cell r="A122" t="str">
            <v>rose</v>
          </cell>
          <cell r="B122" t="str">
            <v>ok</v>
          </cell>
          <cell r="C122">
            <v>0.37277913093566889</v>
          </cell>
        </row>
        <row r="123">
          <cell r="A123" t="str">
            <v>discret3</v>
          </cell>
          <cell r="B123" t="str">
            <v>timeout</v>
          </cell>
          <cell r="C123" t="str">
            <v>-</v>
          </cell>
        </row>
        <row r="124">
          <cell r="A124" t="str">
            <v>dl</v>
          </cell>
          <cell r="B124" t="str">
            <v>ok</v>
          </cell>
          <cell r="C124">
            <v>3275.6202714443211</v>
          </cell>
        </row>
        <row r="125">
          <cell r="A125" t="str">
            <v>speer</v>
          </cell>
          <cell r="B125" t="str">
            <v>ok</v>
          </cell>
          <cell r="C125">
            <v>10.46259665489197</v>
          </cell>
        </row>
        <row r="126">
          <cell r="A126" t="str">
            <v>quadfor2</v>
          </cell>
          <cell r="B126" t="str">
            <v>ok</v>
          </cell>
          <cell r="C126">
            <v>2.662420272827148E-3</v>
          </cell>
        </row>
        <row r="127">
          <cell r="A127" t="str">
            <v>noon6</v>
          </cell>
          <cell r="B127" t="str">
            <v>ok</v>
          </cell>
          <cell r="C127">
            <v>204.97261500358579</v>
          </cell>
        </row>
        <row r="128">
          <cell r="A128" t="str">
            <v>fabrice24</v>
          </cell>
          <cell r="B128" t="str">
            <v>ok</v>
          </cell>
          <cell r="C128">
            <v>158.46337032318121</v>
          </cell>
        </row>
        <row r="129">
          <cell r="A129" t="str">
            <v>chemkin</v>
          </cell>
          <cell r="B129" t="str">
            <v>ok</v>
          </cell>
          <cell r="C129">
            <v>707.14669466018677</v>
          </cell>
        </row>
        <row r="130">
          <cell r="A130" t="str">
            <v>boon</v>
          </cell>
          <cell r="B130" t="str">
            <v>ok</v>
          </cell>
          <cell r="C130">
            <v>0.1488652229309082</v>
          </cell>
        </row>
        <row r="131">
          <cell r="A131" t="str">
            <v>hairer4</v>
          </cell>
          <cell r="B131" t="str">
            <v>timeout</v>
          </cell>
          <cell r="C131" t="str">
            <v>-</v>
          </cell>
        </row>
        <row r="132">
          <cell r="A132" t="str">
            <v>s9_1</v>
          </cell>
          <cell r="B132" t="str">
            <v>ok</v>
          </cell>
          <cell r="C132">
            <v>0.1049847602844238</v>
          </cell>
        </row>
        <row r="133">
          <cell r="A133" t="str">
            <v>cassou</v>
          </cell>
          <cell r="B133" t="str">
            <v>ok</v>
          </cell>
          <cell r="C133">
            <v>3.474738597869873</v>
          </cell>
        </row>
        <row r="134">
          <cell r="A134" t="str">
            <v>matrix</v>
          </cell>
          <cell r="B134" t="str">
            <v>ok</v>
          </cell>
          <cell r="C134">
            <v>4.0522279739379883</v>
          </cell>
        </row>
        <row r="135">
          <cell r="A135" t="str">
            <v>extcyc4</v>
          </cell>
          <cell r="B135" t="str">
            <v>ok</v>
          </cell>
          <cell r="C135">
            <v>0.67310309410095215</v>
          </cell>
        </row>
      </sheetData>
      <sheetData sheetId="1">
        <row r="1">
          <cell r="A1" t="str">
            <v>name</v>
          </cell>
          <cell r="B1" t="str">
            <v>status</v>
          </cell>
          <cell r="C1" t="str">
            <v>solve_time_sec</v>
          </cell>
        </row>
        <row r="2">
          <cell r="A2" t="str">
            <v>eco8</v>
          </cell>
          <cell r="B2" t="str">
            <v>ok</v>
          </cell>
          <cell r="C2">
            <v>62.11402702331543</v>
          </cell>
        </row>
        <row r="3">
          <cell r="A3" t="str">
            <v>jcf26</v>
          </cell>
          <cell r="B3" t="str">
            <v>ok</v>
          </cell>
          <cell r="C3">
            <v>327.68848347663879</v>
          </cell>
        </row>
        <row r="4">
          <cell r="A4" t="str">
            <v>redeco9</v>
          </cell>
          <cell r="B4" t="str">
            <v>ok</v>
          </cell>
          <cell r="C4">
            <v>51.364928007125847</v>
          </cell>
        </row>
        <row r="5">
          <cell r="A5" t="str">
            <v>redeco10</v>
          </cell>
          <cell r="B5" t="str">
            <v>ok</v>
          </cell>
          <cell r="C5">
            <v>331.646723985672</v>
          </cell>
        </row>
        <row r="6">
          <cell r="A6" t="str">
            <v>dessin1</v>
          </cell>
          <cell r="B6" t="str">
            <v>ok</v>
          </cell>
          <cell r="C6">
            <v>6.6501693725585938</v>
          </cell>
        </row>
        <row r="7">
          <cell r="A7" t="str">
            <v>pinchon1</v>
          </cell>
          <cell r="B7" t="str">
            <v>ok</v>
          </cell>
          <cell r="C7">
            <v>1572.316743612289</v>
          </cell>
        </row>
        <row r="8">
          <cell r="A8" t="str">
            <v>kin1</v>
          </cell>
          <cell r="B8" t="str">
            <v>ok</v>
          </cell>
          <cell r="C8">
            <v>70.445943832397461</v>
          </cell>
        </row>
        <row r="9">
          <cell r="A9" t="str">
            <v>camera1s</v>
          </cell>
          <cell r="B9" t="str">
            <v>ok</v>
          </cell>
          <cell r="C9">
            <v>2.0594253540039058</v>
          </cell>
        </row>
        <row r="10">
          <cell r="A10" t="str">
            <v>tangents</v>
          </cell>
          <cell r="B10" t="str">
            <v>ok</v>
          </cell>
          <cell r="C10">
            <v>3.4138386249542241</v>
          </cell>
        </row>
        <row r="11">
          <cell r="A11" t="str">
            <v>reimer5</v>
          </cell>
          <cell r="B11" t="str">
            <v>ok</v>
          </cell>
          <cell r="C11">
            <v>149.13368463516241</v>
          </cell>
        </row>
        <row r="12">
          <cell r="A12" t="str">
            <v>benchmark_D1</v>
          </cell>
          <cell r="B12" t="str">
            <v>ok</v>
          </cell>
          <cell r="C12">
            <v>101.02555823326109</v>
          </cell>
        </row>
        <row r="13">
          <cell r="A13" t="str">
            <v>katsura6</v>
          </cell>
          <cell r="B13" t="str">
            <v>ok</v>
          </cell>
          <cell r="C13">
            <v>13.24014449119568</v>
          </cell>
        </row>
        <row r="14">
          <cell r="A14" t="str">
            <v>hietarinta1</v>
          </cell>
          <cell r="B14" t="str">
            <v>ok</v>
          </cell>
          <cell r="C14">
            <v>223.29891228675839</v>
          </cell>
        </row>
        <row r="15">
          <cell r="A15" t="str">
            <v>extcyc5</v>
          </cell>
          <cell r="B15" t="str">
            <v>ok</v>
          </cell>
          <cell r="C15">
            <v>102.8006916046143</v>
          </cell>
        </row>
        <row r="16">
          <cell r="A16" t="str">
            <v>chemequs</v>
          </cell>
          <cell r="B16" t="str">
            <v>ok</v>
          </cell>
          <cell r="C16">
            <v>1.8437173366546631</v>
          </cell>
        </row>
        <row r="17">
          <cell r="A17" t="str">
            <v>benchmark_i1</v>
          </cell>
          <cell r="B17" t="str">
            <v>ok</v>
          </cell>
          <cell r="C17">
            <v>446.55220174789429</v>
          </cell>
        </row>
        <row r="18">
          <cell r="A18" t="str">
            <v>vermeer</v>
          </cell>
          <cell r="B18" t="str">
            <v>ok</v>
          </cell>
          <cell r="C18">
            <v>2.14338207244873</v>
          </cell>
        </row>
        <row r="19">
          <cell r="A19" t="str">
            <v>redeco11</v>
          </cell>
          <cell r="B19" t="str">
            <v>ok</v>
          </cell>
          <cell r="C19">
            <v>1360.646322250366</v>
          </cell>
        </row>
        <row r="20">
          <cell r="A20" t="str">
            <v>kotsireas</v>
          </cell>
          <cell r="B20" t="str">
            <v>ok</v>
          </cell>
          <cell r="C20">
            <v>503.71039080619812</v>
          </cell>
        </row>
        <row r="21">
          <cell r="A21" t="str">
            <v>geneig</v>
          </cell>
          <cell r="B21" t="str">
            <v>ok</v>
          </cell>
          <cell r="C21">
            <v>1.0250287055969241</v>
          </cell>
        </row>
        <row r="22">
          <cell r="A22" t="str">
            <v>f633</v>
          </cell>
          <cell r="B22" t="str">
            <v>ok</v>
          </cell>
          <cell r="C22">
            <v>3.3830745220184331</v>
          </cell>
        </row>
        <row r="23">
          <cell r="A23" t="str">
            <v>des22_24</v>
          </cell>
          <cell r="B23" t="str">
            <v>ok</v>
          </cell>
          <cell r="C23">
            <v>10.834578514099119</v>
          </cell>
        </row>
        <row r="24">
          <cell r="A24" t="str">
            <v>i1</v>
          </cell>
          <cell r="B24" t="str">
            <v>ok</v>
          </cell>
          <cell r="C24">
            <v>461.10596132278442</v>
          </cell>
        </row>
        <row r="25">
          <cell r="A25" t="str">
            <v>eco7</v>
          </cell>
          <cell r="B25" t="str">
            <v>ok</v>
          </cell>
          <cell r="C25">
            <v>6.8042044639587402</v>
          </cell>
        </row>
        <row r="26">
          <cell r="A26" t="str">
            <v>butcher</v>
          </cell>
          <cell r="B26" t="str">
            <v>ok</v>
          </cell>
          <cell r="C26">
            <v>5.835477352142334</v>
          </cell>
        </row>
        <row r="27">
          <cell r="A27" t="str">
            <v>cohn2</v>
          </cell>
          <cell r="B27" t="str">
            <v>ok</v>
          </cell>
          <cell r="C27">
            <v>8.2688801288604736</v>
          </cell>
        </row>
        <row r="28">
          <cell r="A28" t="str">
            <v>filter9</v>
          </cell>
          <cell r="B28" t="str">
            <v>ok</v>
          </cell>
          <cell r="C28">
            <v>323.35472893714899</v>
          </cell>
        </row>
        <row r="29">
          <cell r="A29" t="str">
            <v>dessin2</v>
          </cell>
          <cell r="B29" t="str">
            <v>ok</v>
          </cell>
          <cell r="C29">
            <v>11.772971153259279</v>
          </cell>
        </row>
        <row r="30">
          <cell r="A30" t="str">
            <v>katsura7</v>
          </cell>
          <cell r="B30" t="str">
            <v>ok</v>
          </cell>
          <cell r="C30">
            <v>104.5982294082642</v>
          </cell>
        </row>
        <row r="31">
          <cell r="A31" t="str">
            <v>hf744</v>
          </cell>
          <cell r="B31" t="str">
            <v>ok</v>
          </cell>
          <cell r="C31">
            <v>340.13222908973688</v>
          </cell>
        </row>
        <row r="32">
          <cell r="A32" t="str">
            <v>redcyc6</v>
          </cell>
          <cell r="B32" t="str">
            <v>ok</v>
          </cell>
          <cell r="C32">
            <v>24.98520922660828</v>
          </cell>
        </row>
        <row r="33">
          <cell r="A33" t="str">
            <v>cpdm5</v>
          </cell>
          <cell r="B33" t="str">
            <v>ok</v>
          </cell>
          <cell r="C33">
            <v>97.386493444442749</v>
          </cell>
        </row>
        <row r="34">
          <cell r="A34" t="str">
            <v>d1</v>
          </cell>
          <cell r="B34" t="str">
            <v>ok</v>
          </cell>
          <cell r="C34">
            <v>62.052564859390259</v>
          </cell>
        </row>
        <row r="35">
          <cell r="A35" t="str">
            <v>rbpl</v>
          </cell>
          <cell r="B35" t="str">
            <v>ok</v>
          </cell>
          <cell r="C35">
            <v>311.0801157951355</v>
          </cell>
        </row>
        <row r="36">
          <cell r="A36" t="str">
            <v>noon5</v>
          </cell>
          <cell r="B36" t="str">
            <v>ok</v>
          </cell>
          <cell r="C36">
            <v>15.77711606025696</v>
          </cell>
        </row>
        <row r="37">
          <cell r="A37" t="str">
            <v>hcyclic6</v>
          </cell>
          <cell r="B37" t="str">
            <v>ok</v>
          </cell>
          <cell r="C37">
            <v>15.123206853866581</v>
          </cell>
        </row>
        <row r="38">
          <cell r="A38" t="str">
            <v>assur44</v>
          </cell>
          <cell r="B38" t="str">
            <v>ok</v>
          </cell>
          <cell r="C38">
            <v>402.03531408309942</v>
          </cell>
        </row>
        <row r="39">
          <cell r="A39" t="str">
            <v>cohn3</v>
          </cell>
          <cell r="B39" t="str">
            <v>ok</v>
          </cell>
          <cell r="C39">
            <v>5071.4860701560974</v>
          </cell>
        </row>
        <row r="40">
          <cell r="A40" t="str">
            <v>eco9</v>
          </cell>
          <cell r="B40" t="str">
            <v>ok</v>
          </cell>
          <cell r="C40">
            <v>315.67101001739502</v>
          </cell>
        </row>
        <row r="41">
          <cell r="A41" t="str">
            <v>rbpl24</v>
          </cell>
          <cell r="B41" t="str">
            <v>ok</v>
          </cell>
          <cell r="C41">
            <v>191.30707287788391</v>
          </cell>
        </row>
        <row r="42">
          <cell r="A42" t="str">
            <v>lichtblau</v>
          </cell>
          <cell r="B42" t="str">
            <v>ok</v>
          </cell>
          <cell r="C42">
            <v>1.6149575710296631</v>
          </cell>
        </row>
        <row r="43">
          <cell r="A43" t="str">
            <v>des18_3</v>
          </cell>
          <cell r="B43" t="str">
            <v>ok</v>
          </cell>
          <cell r="C43">
            <v>7.2323195934295654</v>
          </cell>
        </row>
        <row r="44">
          <cell r="A44" t="str">
            <v>redeco8</v>
          </cell>
          <cell r="B44" t="str">
            <v>ok</v>
          </cell>
          <cell r="C44">
            <v>7.9981951713562012</v>
          </cell>
        </row>
        <row r="45">
          <cell r="A45" t="str">
            <v>butcher8</v>
          </cell>
          <cell r="B45" t="str">
            <v>ok</v>
          </cell>
          <cell r="C45">
            <v>37.922319889068604</v>
          </cell>
        </row>
        <row r="46">
          <cell r="A46" t="str">
            <v>katsura8</v>
          </cell>
          <cell r="B46" t="str">
            <v>ok</v>
          </cell>
          <cell r="C46">
            <v>622.96505355834961</v>
          </cell>
        </row>
        <row r="47">
          <cell r="A47" t="str">
            <v>kinema</v>
          </cell>
          <cell r="B47" t="str">
            <v>ok</v>
          </cell>
          <cell r="C47">
            <v>13.40174531936646</v>
          </cell>
        </row>
        <row r="48">
          <cell r="A48" t="str">
            <v>f744</v>
          </cell>
          <cell r="B48" t="str">
            <v>ok</v>
          </cell>
          <cell r="C48">
            <v>345.60641598701483</v>
          </cell>
        </row>
        <row r="49">
          <cell r="A49" t="str">
            <v>reimer4</v>
          </cell>
          <cell r="B49" t="str">
            <v>ok</v>
          </cell>
          <cell r="C49">
            <v>3.3885467052459721</v>
          </cell>
        </row>
        <row r="50">
          <cell r="A50" t="str">
            <v>rabmo</v>
          </cell>
          <cell r="B50" t="str">
            <v>ok</v>
          </cell>
          <cell r="C50">
            <v>4.7238864898681641</v>
          </cell>
        </row>
        <row r="51">
          <cell r="A51" t="str">
            <v>eco10</v>
          </cell>
          <cell r="B51" t="str">
            <v>ok</v>
          </cell>
          <cell r="C51">
            <v>2227.985970973969</v>
          </cell>
        </row>
        <row r="52">
          <cell r="A52" t="str">
            <v>f855</v>
          </cell>
          <cell r="B52" t="str">
            <v>ok</v>
          </cell>
          <cell r="C52">
            <v>2496.6519794464111</v>
          </cell>
        </row>
        <row r="53">
          <cell r="A53" t="str">
            <v>cyclic6</v>
          </cell>
          <cell r="B53" t="str">
            <v>ok</v>
          </cell>
          <cell r="C53">
            <v>31.47201228141785</v>
          </cell>
        </row>
        <row r="54">
          <cell r="A54" t="str">
            <v>hairer2</v>
          </cell>
          <cell r="B54" t="str">
            <v>ok</v>
          </cell>
          <cell r="C54">
            <v>1048.470063447952</v>
          </cell>
        </row>
        <row r="55">
          <cell r="A55" t="str">
            <v>reimer6</v>
          </cell>
          <cell r="B55" t="str">
            <v>ok</v>
          </cell>
          <cell r="C55">
            <v>1021.735809087753</v>
          </cell>
        </row>
        <row r="56">
          <cell r="A56" t="str">
            <v>dl</v>
          </cell>
          <cell r="B56" t="str">
            <v>ok</v>
          </cell>
          <cell r="C56">
            <v>3053.611735105515</v>
          </cell>
        </row>
        <row r="57">
          <cell r="A57" t="str">
            <v>speer</v>
          </cell>
          <cell r="B57" t="str">
            <v>ok</v>
          </cell>
          <cell r="C57">
            <v>27.149557828903198</v>
          </cell>
        </row>
        <row r="58">
          <cell r="A58" t="str">
            <v>noon6</v>
          </cell>
          <cell r="B58" t="str">
            <v>ok</v>
          </cell>
          <cell r="C58">
            <v>375.20069694519037</v>
          </cell>
        </row>
        <row r="59">
          <cell r="A59" t="str">
            <v>fabrice24</v>
          </cell>
          <cell r="B59" t="str">
            <v>ok</v>
          </cell>
          <cell r="C59">
            <v>181.15041136741641</v>
          </cell>
        </row>
        <row r="60">
          <cell r="A60" t="str">
            <v>chemkin</v>
          </cell>
          <cell r="B60" t="str">
            <v>ok</v>
          </cell>
          <cell r="C60">
            <v>590.92358946800232</v>
          </cell>
        </row>
        <row r="61">
          <cell r="A61" t="str">
            <v>cassou</v>
          </cell>
          <cell r="B61" t="str">
            <v>ok</v>
          </cell>
          <cell r="C61">
            <v>3.8009169101715088</v>
          </cell>
        </row>
        <row r="62">
          <cell r="A62" t="str">
            <v>matrix</v>
          </cell>
          <cell r="B62" t="str">
            <v>ok</v>
          </cell>
          <cell r="C62">
            <v>9.5574901103973389</v>
          </cell>
        </row>
      </sheetData>
      <sheetData sheetId="2">
        <row r="1">
          <cell r="A1" t="str">
            <v>name</v>
          </cell>
          <cell r="B1" t="str">
            <v>status</v>
          </cell>
          <cell r="C1" t="str">
            <v>solve_time_sec</v>
          </cell>
        </row>
        <row r="2">
          <cell r="A2" t="str">
            <v>eco8</v>
          </cell>
          <cell r="B2" t="str">
            <v>ok</v>
          </cell>
          <cell r="C2">
            <v>55.535470008850098</v>
          </cell>
        </row>
        <row r="3">
          <cell r="A3" t="str">
            <v>jcf26</v>
          </cell>
          <cell r="B3" t="str">
            <v>ok</v>
          </cell>
          <cell r="C3">
            <v>218.5860230922699</v>
          </cell>
        </row>
        <row r="4">
          <cell r="A4" t="str">
            <v>redeco9</v>
          </cell>
          <cell r="B4" t="str">
            <v>ok</v>
          </cell>
          <cell r="C4">
            <v>43.680763483047492</v>
          </cell>
        </row>
        <row r="5">
          <cell r="A5" t="str">
            <v>redeco10</v>
          </cell>
          <cell r="B5" t="str">
            <v>ok</v>
          </cell>
          <cell r="C5">
            <v>295.52030849456793</v>
          </cell>
        </row>
        <row r="6">
          <cell r="A6" t="str">
            <v>dessin1</v>
          </cell>
          <cell r="B6" t="str">
            <v>ok</v>
          </cell>
          <cell r="C6">
            <v>6.0836923122406006</v>
          </cell>
        </row>
        <row r="7">
          <cell r="A7" t="str">
            <v>pinchon1</v>
          </cell>
          <cell r="B7" t="str">
            <v>ok</v>
          </cell>
          <cell r="C7">
            <v>1648.710386753082</v>
          </cell>
        </row>
        <row r="8">
          <cell r="A8" t="str">
            <v>kin1</v>
          </cell>
          <cell r="B8" t="str">
            <v>ok</v>
          </cell>
          <cell r="C8">
            <v>47.205440282821662</v>
          </cell>
        </row>
        <row r="9">
          <cell r="A9" t="str">
            <v>camera1s</v>
          </cell>
          <cell r="B9" t="str">
            <v>ok</v>
          </cell>
          <cell r="C9">
            <v>1.2788629531860349</v>
          </cell>
        </row>
        <row r="10">
          <cell r="A10" t="str">
            <v>tangents</v>
          </cell>
          <cell r="B10" t="str">
            <v>ok</v>
          </cell>
          <cell r="C10">
            <v>2.447412252426147</v>
          </cell>
        </row>
        <row r="11">
          <cell r="A11" t="str">
            <v>reimer5</v>
          </cell>
          <cell r="B11" t="str">
            <v>ok</v>
          </cell>
          <cell r="C11">
            <v>129.7519953250885</v>
          </cell>
        </row>
        <row r="12">
          <cell r="A12" t="str">
            <v>benchmark_D1</v>
          </cell>
          <cell r="B12" t="str">
            <v>ok</v>
          </cell>
          <cell r="C12">
            <v>111.3378133773804</v>
          </cell>
        </row>
        <row r="13">
          <cell r="A13" t="str">
            <v>katsura6</v>
          </cell>
          <cell r="B13" t="str">
            <v>ok</v>
          </cell>
          <cell r="C13">
            <v>11.756438016891479</v>
          </cell>
        </row>
        <row r="14">
          <cell r="A14" t="str">
            <v>hietarinta1</v>
          </cell>
          <cell r="B14" t="str">
            <v>ok</v>
          </cell>
          <cell r="C14">
            <v>208.6567368507385</v>
          </cell>
        </row>
        <row r="15">
          <cell r="A15" t="str">
            <v>extcyc5</v>
          </cell>
          <cell r="B15" t="str">
            <v>ok</v>
          </cell>
          <cell r="C15">
            <v>92.945230722427368</v>
          </cell>
        </row>
        <row r="16">
          <cell r="A16" t="str">
            <v>chemequs</v>
          </cell>
          <cell r="B16" t="str">
            <v>ok</v>
          </cell>
          <cell r="C16">
            <v>1.8088793754577639</v>
          </cell>
        </row>
        <row r="17">
          <cell r="A17" t="str">
            <v>benchmark_i1</v>
          </cell>
          <cell r="B17" t="str">
            <v>ok</v>
          </cell>
          <cell r="C17">
            <v>418.12566995620728</v>
          </cell>
        </row>
        <row r="18">
          <cell r="A18" t="str">
            <v>vermeer</v>
          </cell>
          <cell r="B18" t="str">
            <v>ok</v>
          </cell>
          <cell r="C18">
            <v>2.0171360969543461</v>
          </cell>
        </row>
        <row r="19">
          <cell r="A19" t="str">
            <v>redeco11</v>
          </cell>
          <cell r="B19" t="str">
            <v>ok</v>
          </cell>
          <cell r="C19">
            <v>1503.4183466434481</v>
          </cell>
        </row>
        <row r="20">
          <cell r="A20" t="str">
            <v>kotsireas</v>
          </cell>
          <cell r="B20" t="str">
            <v>ok</v>
          </cell>
          <cell r="C20">
            <v>632.48327088356018</v>
          </cell>
        </row>
        <row r="21">
          <cell r="A21" t="str">
            <v>geneig</v>
          </cell>
          <cell r="B21" t="str">
            <v>ok</v>
          </cell>
          <cell r="C21">
            <v>1.0833902359008789</v>
          </cell>
        </row>
        <row r="22">
          <cell r="A22" t="str">
            <v>f633</v>
          </cell>
          <cell r="B22" t="str">
            <v>ok</v>
          </cell>
          <cell r="C22">
            <v>2.1955502033233638</v>
          </cell>
        </row>
        <row r="23">
          <cell r="A23" t="str">
            <v>des22_24</v>
          </cell>
          <cell r="B23" t="str">
            <v>ok</v>
          </cell>
          <cell r="C23">
            <v>8.5817973613739014</v>
          </cell>
        </row>
        <row r="24">
          <cell r="A24" t="str">
            <v>i1</v>
          </cell>
          <cell r="B24" t="str">
            <v>ok</v>
          </cell>
          <cell r="C24">
            <v>361.55200743675232</v>
          </cell>
        </row>
        <row r="25">
          <cell r="A25" t="str">
            <v>eco7</v>
          </cell>
          <cell r="B25" t="str">
            <v>ok</v>
          </cell>
          <cell r="C25">
            <v>5.853773832321167</v>
          </cell>
        </row>
        <row r="26">
          <cell r="A26" t="str">
            <v>butcher</v>
          </cell>
          <cell r="B26" t="str">
            <v>ok</v>
          </cell>
          <cell r="C26">
            <v>5.5093488693237296</v>
          </cell>
        </row>
        <row r="27">
          <cell r="A27" t="str">
            <v>cohn2</v>
          </cell>
          <cell r="B27" t="str">
            <v>ok</v>
          </cell>
          <cell r="C27">
            <v>6.5287718772888184</v>
          </cell>
        </row>
        <row r="28">
          <cell r="A28" t="str">
            <v>filter9</v>
          </cell>
          <cell r="B28" t="str">
            <v>ok</v>
          </cell>
          <cell r="C28">
            <v>264.23957180976868</v>
          </cell>
        </row>
        <row r="29">
          <cell r="A29" t="str">
            <v>dessin2</v>
          </cell>
          <cell r="B29" t="str">
            <v>ok</v>
          </cell>
          <cell r="C29">
            <v>10.145428895950319</v>
          </cell>
        </row>
        <row r="30">
          <cell r="A30" t="str">
            <v>katsura7</v>
          </cell>
          <cell r="B30" t="str">
            <v>ok</v>
          </cell>
          <cell r="C30">
            <v>92.792263507843018</v>
          </cell>
        </row>
        <row r="31">
          <cell r="A31" t="str">
            <v>hf744</v>
          </cell>
          <cell r="B31" t="str">
            <v>ok</v>
          </cell>
          <cell r="C31">
            <v>284.36823749542242</v>
          </cell>
        </row>
        <row r="32">
          <cell r="A32" t="str">
            <v>redcyc6</v>
          </cell>
          <cell r="B32" t="str">
            <v>ok</v>
          </cell>
          <cell r="C32">
            <v>16.56342720985413</v>
          </cell>
        </row>
        <row r="33">
          <cell r="A33" t="str">
            <v>cpdm5</v>
          </cell>
          <cell r="B33" t="str">
            <v>ok</v>
          </cell>
          <cell r="C33">
            <v>66.390982389450073</v>
          </cell>
        </row>
        <row r="34">
          <cell r="A34" t="str">
            <v>d1</v>
          </cell>
          <cell r="B34" t="str">
            <v>ok</v>
          </cell>
          <cell r="C34">
            <v>90.958328485488892</v>
          </cell>
        </row>
        <row r="35">
          <cell r="A35" t="str">
            <v>rbpl</v>
          </cell>
          <cell r="B35" t="str">
            <v>ok</v>
          </cell>
          <cell r="C35">
            <v>228.5026798248291</v>
          </cell>
        </row>
        <row r="36">
          <cell r="A36" t="str">
            <v>noon5</v>
          </cell>
          <cell r="B36" t="str">
            <v>ok</v>
          </cell>
          <cell r="C36">
            <v>14.621394872665411</v>
          </cell>
        </row>
        <row r="37">
          <cell r="A37" t="str">
            <v>hcyclic6</v>
          </cell>
          <cell r="B37" t="str">
            <v>ok</v>
          </cell>
          <cell r="C37">
            <v>13.543596982955931</v>
          </cell>
        </row>
        <row r="38">
          <cell r="A38" t="str">
            <v>assur44</v>
          </cell>
          <cell r="B38" t="str">
            <v>ok</v>
          </cell>
          <cell r="C38">
            <v>365.64800071716309</v>
          </cell>
        </row>
        <row r="39">
          <cell r="A39" t="str">
            <v>cohn3</v>
          </cell>
          <cell r="B39" t="str">
            <v>timeout</v>
          </cell>
          <cell r="C39" t="str">
            <v>-</v>
          </cell>
        </row>
        <row r="40">
          <cell r="A40" t="str">
            <v>eco9</v>
          </cell>
          <cell r="B40" t="str">
            <v>ok</v>
          </cell>
          <cell r="C40">
            <v>312.06827068328857</v>
          </cell>
        </row>
        <row r="41">
          <cell r="A41" t="str">
            <v>rbpl24</v>
          </cell>
          <cell r="B41" t="str">
            <v>ok</v>
          </cell>
          <cell r="C41">
            <v>181.38168931007391</v>
          </cell>
        </row>
        <row r="42">
          <cell r="A42" t="str">
            <v>lichtblau</v>
          </cell>
          <cell r="B42" t="str">
            <v>ok</v>
          </cell>
          <cell r="C42">
            <v>1.125351667404175</v>
          </cell>
        </row>
        <row r="43">
          <cell r="A43" t="str">
            <v>des18_3</v>
          </cell>
          <cell r="B43" t="str">
            <v>ok</v>
          </cell>
          <cell r="C43">
            <v>6.1638500690460214</v>
          </cell>
        </row>
        <row r="44">
          <cell r="A44" t="str">
            <v>redeco8</v>
          </cell>
          <cell r="B44" t="str">
            <v>ok</v>
          </cell>
          <cell r="C44">
            <v>6.124413013458252</v>
          </cell>
        </row>
        <row r="45">
          <cell r="A45" t="str">
            <v>butcher8</v>
          </cell>
          <cell r="B45" t="str">
            <v>ok</v>
          </cell>
          <cell r="C45">
            <v>23.446670532226559</v>
          </cell>
        </row>
        <row r="46">
          <cell r="A46" t="str">
            <v>katsura8</v>
          </cell>
          <cell r="B46" t="str">
            <v>ok</v>
          </cell>
          <cell r="C46">
            <v>517.85615158081055</v>
          </cell>
        </row>
        <row r="47">
          <cell r="A47" t="str">
            <v>kinema</v>
          </cell>
          <cell r="B47" t="str">
            <v>ok</v>
          </cell>
          <cell r="C47">
            <v>11.180777549743651</v>
          </cell>
        </row>
        <row r="48">
          <cell r="A48" t="str">
            <v>f744</v>
          </cell>
          <cell r="B48" t="str">
            <v>ok</v>
          </cell>
          <cell r="C48">
            <v>256.68566417694092</v>
          </cell>
        </row>
        <row r="49">
          <cell r="A49" t="str">
            <v>reimer4</v>
          </cell>
          <cell r="B49" t="str">
            <v>ok</v>
          </cell>
          <cell r="C49">
            <v>1.835096597671509</v>
          </cell>
        </row>
        <row r="50">
          <cell r="A50" t="str">
            <v>rabmo</v>
          </cell>
          <cell r="B50" t="str">
            <v>ok</v>
          </cell>
          <cell r="C50">
            <v>4.5454537868499756</v>
          </cell>
        </row>
        <row r="51">
          <cell r="A51" t="str">
            <v>eco10</v>
          </cell>
          <cell r="B51" t="str">
            <v>ok</v>
          </cell>
          <cell r="C51">
            <v>2461.8026030063629</v>
          </cell>
        </row>
        <row r="52">
          <cell r="A52" t="str">
            <v>f855</v>
          </cell>
          <cell r="B52" t="str">
            <v>ok</v>
          </cell>
          <cell r="C52">
            <v>3008.50664305687</v>
          </cell>
        </row>
        <row r="53">
          <cell r="A53" t="str">
            <v>cyclic6</v>
          </cell>
          <cell r="B53" t="str">
            <v>ok</v>
          </cell>
          <cell r="C53">
            <v>29.660796403884891</v>
          </cell>
        </row>
        <row r="54">
          <cell r="A54" t="str">
            <v>hairer2</v>
          </cell>
          <cell r="B54" t="str">
            <v>ok</v>
          </cell>
          <cell r="C54">
            <v>921.90747785568237</v>
          </cell>
        </row>
        <row r="55">
          <cell r="A55" t="str">
            <v>reimer6</v>
          </cell>
          <cell r="B55" t="str">
            <v>ok</v>
          </cell>
          <cell r="C55">
            <v>1158.1067538261409</v>
          </cell>
        </row>
        <row r="56">
          <cell r="A56" t="str">
            <v>dl</v>
          </cell>
          <cell r="B56" t="str">
            <v>ok</v>
          </cell>
          <cell r="C56">
            <v>3367.8720877170558</v>
          </cell>
        </row>
        <row r="57">
          <cell r="A57" t="str">
            <v>speer</v>
          </cell>
          <cell r="B57" t="str">
            <v>ok</v>
          </cell>
          <cell r="C57">
            <v>18.445169925689701</v>
          </cell>
        </row>
        <row r="58">
          <cell r="A58" t="str">
            <v>noon6</v>
          </cell>
          <cell r="B58" t="str">
            <v>ok</v>
          </cell>
          <cell r="C58">
            <v>227.62509250640869</v>
          </cell>
        </row>
        <row r="59">
          <cell r="A59" t="str">
            <v>fabrice24</v>
          </cell>
          <cell r="B59" t="str">
            <v>ok</v>
          </cell>
          <cell r="C59">
            <v>156.04979729652399</v>
          </cell>
        </row>
        <row r="60">
          <cell r="A60" t="str">
            <v>chemkin</v>
          </cell>
          <cell r="B60" t="str">
            <v>ok</v>
          </cell>
          <cell r="C60">
            <v>557.05427193641663</v>
          </cell>
        </row>
        <row r="61">
          <cell r="A61" t="str">
            <v>cassou</v>
          </cell>
          <cell r="B61" t="str">
            <v>ok</v>
          </cell>
          <cell r="C61">
            <v>3.6309604644775391</v>
          </cell>
        </row>
        <row r="62">
          <cell r="A62" t="str">
            <v>matrix</v>
          </cell>
          <cell r="B62" t="str">
            <v>ok</v>
          </cell>
          <cell r="C62">
            <v>8.4684929847717285</v>
          </cell>
        </row>
      </sheetData>
      <sheetData sheetId="3">
        <row r="1">
          <cell r="A1" t="str">
            <v>name</v>
          </cell>
          <cell r="B1" t="str">
            <v>status</v>
          </cell>
          <cell r="C1" t="str">
            <v>solve_time_sec</v>
          </cell>
        </row>
        <row r="2">
          <cell r="A2" t="str">
            <v>eco8</v>
          </cell>
          <cell r="B2" t="str">
            <v>ok</v>
          </cell>
          <cell r="C2">
            <v>52.838376998901367</v>
          </cell>
        </row>
        <row r="3">
          <cell r="A3" t="str">
            <v>jcf26</v>
          </cell>
          <cell r="B3" t="str">
            <v>ok</v>
          </cell>
          <cell r="C3">
            <v>228.75973320007321</v>
          </cell>
        </row>
        <row r="4">
          <cell r="A4" t="str">
            <v>redeco9</v>
          </cell>
          <cell r="B4" t="str">
            <v>ok</v>
          </cell>
          <cell r="C4">
            <v>35.502800226211548</v>
          </cell>
        </row>
        <row r="5">
          <cell r="A5" t="str">
            <v>redeco10</v>
          </cell>
          <cell r="B5" t="str">
            <v>ok</v>
          </cell>
          <cell r="C5">
            <v>296.66057658195501</v>
          </cell>
        </row>
        <row r="6">
          <cell r="A6" t="str">
            <v>dessin1</v>
          </cell>
          <cell r="B6" t="str">
            <v>ok</v>
          </cell>
          <cell r="C6">
            <v>6.4706821441650391</v>
          </cell>
        </row>
        <row r="7">
          <cell r="A7" t="str">
            <v>pinchon1</v>
          </cell>
          <cell r="B7" t="str">
            <v>ok</v>
          </cell>
          <cell r="C7">
            <v>1465.963356971741</v>
          </cell>
        </row>
        <row r="8">
          <cell r="A8" t="str">
            <v>kin1</v>
          </cell>
          <cell r="B8" t="str">
            <v>ok</v>
          </cell>
          <cell r="C8">
            <v>48.641052961349487</v>
          </cell>
        </row>
        <row r="9">
          <cell r="A9" t="str">
            <v>camera1s</v>
          </cell>
          <cell r="B9" t="str">
            <v>ok</v>
          </cell>
          <cell r="C9">
            <v>1.2818000316619871</v>
          </cell>
        </row>
        <row r="10">
          <cell r="A10" t="str">
            <v>tangents</v>
          </cell>
          <cell r="B10" t="str">
            <v>ok</v>
          </cell>
          <cell r="C10">
            <v>2.7778723239898682</v>
          </cell>
        </row>
        <row r="11">
          <cell r="A11" t="str">
            <v>reimer5</v>
          </cell>
          <cell r="B11" t="str">
            <v>ok</v>
          </cell>
          <cell r="C11">
            <v>143.1133682727814</v>
          </cell>
        </row>
        <row r="12">
          <cell r="A12" t="str">
            <v>benchmark_D1</v>
          </cell>
          <cell r="B12" t="str">
            <v>ok</v>
          </cell>
          <cell r="C12">
            <v>107.6230447292328</v>
          </cell>
        </row>
        <row r="13">
          <cell r="A13" t="str">
            <v>katsura6</v>
          </cell>
          <cell r="B13" t="str">
            <v>ok</v>
          </cell>
          <cell r="C13">
            <v>10.202280044555661</v>
          </cell>
        </row>
        <row r="14">
          <cell r="A14" t="str">
            <v>hietarinta1</v>
          </cell>
          <cell r="B14" t="str">
            <v>ok</v>
          </cell>
          <cell r="C14">
            <v>218.2070107460022</v>
          </cell>
        </row>
        <row r="15">
          <cell r="A15" t="str">
            <v>extcyc5</v>
          </cell>
          <cell r="B15" t="str">
            <v>ok</v>
          </cell>
          <cell r="C15">
            <v>83.154446363449097</v>
          </cell>
        </row>
        <row r="16">
          <cell r="A16" t="str">
            <v>chemequs</v>
          </cell>
          <cell r="B16" t="str">
            <v>ok</v>
          </cell>
          <cell r="C16">
            <v>1.6613538265228269</v>
          </cell>
        </row>
        <row r="17">
          <cell r="A17" t="str">
            <v>benchmark_i1</v>
          </cell>
          <cell r="B17" t="str">
            <v>ok</v>
          </cell>
          <cell r="C17">
            <v>312.39491963386541</v>
          </cell>
        </row>
        <row r="18">
          <cell r="A18" t="str">
            <v>vermeer</v>
          </cell>
          <cell r="B18" t="str">
            <v>ok</v>
          </cell>
          <cell r="C18">
            <v>2.2448265552520752</v>
          </cell>
        </row>
        <row r="19">
          <cell r="A19" t="str">
            <v>redeco11</v>
          </cell>
          <cell r="B19" t="str">
            <v>ok</v>
          </cell>
          <cell r="C19">
            <v>1319.464948654175</v>
          </cell>
        </row>
        <row r="20">
          <cell r="A20" t="str">
            <v>kotsireas</v>
          </cell>
          <cell r="B20" t="str">
            <v>ok</v>
          </cell>
          <cell r="C20">
            <v>515.78389930725098</v>
          </cell>
        </row>
        <row r="21">
          <cell r="A21" t="str">
            <v>geneig</v>
          </cell>
          <cell r="B21" t="str">
            <v>ok</v>
          </cell>
          <cell r="C21">
            <v>1.079257011413574</v>
          </cell>
        </row>
        <row r="22">
          <cell r="A22" t="str">
            <v>f633</v>
          </cell>
          <cell r="B22" t="str">
            <v>ok</v>
          </cell>
          <cell r="C22">
            <v>1.836404085159302</v>
          </cell>
        </row>
        <row r="23">
          <cell r="A23" t="str">
            <v>des22_24</v>
          </cell>
          <cell r="B23" t="str">
            <v>ok</v>
          </cell>
          <cell r="C23">
            <v>6.9192407131195068</v>
          </cell>
        </row>
        <row r="24">
          <cell r="A24" t="str">
            <v>i1</v>
          </cell>
          <cell r="B24" t="str">
            <v>ok</v>
          </cell>
          <cell r="C24">
            <v>268.32803320884699</v>
          </cell>
        </row>
        <row r="25">
          <cell r="A25" t="str">
            <v>eco7</v>
          </cell>
          <cell r="B25" t="str">
            <v>ok</v>
          </cell>
          <cell r="C25">
            <v>6.154477596282959</v>
          </cell>
        </row>
        <row r="26">
          <cell r="A26" t="str">
            <v>butcher</v>
          </cell>
          <cell r="B26" t="str">
            <v>ok</v>
          </cell>
          <cell r="C26">
            <v>5.2004568576812744</v>
          </cell>
        </row>
        <row r="27">
          <cell r="A27" t="str">
            <v>cohn2</v>
          </cell>
          <cell r="B27" t="str">
            <v>ok</v>
          </cell>
          <cell r="C27">
            <v>4.9941027164459229</v>
          </cell>
        </row>
        <row r="28">
          <cell r="A28" t="str">
            <v>filter9</v>
          </cell>
          <cell r="B28" t="str">
            <v>ok</v>
          </cell>
          <cell r="C28">
            <v>255.45963144302371</v>
          </cell>
        </row>
        <row r="29">
          <cell r="A29" t="str">
            <v>dessin2</v>
          </cell>
          <cell r="B29" t="str">
            <v>ok</v>
          </cell>
          <cell r="C29">
            <v>11.418295860290529</v>
          </cell>
        </row>
        <row r="30">
          <cell r="A30" t="str">
            <v>katsura7</v>
          </cell>
          <cell r="B30" t="str">
            <v>ok</v>
          </cell>
          <cell r="C30">
            <v>80.63519811630249</v>
          </cell>
        </row>
        <row r="31">
          <cell r="A31" t="str">
            <v>hf744</v>
          </cell>
          <cell r="B31" t="str">
            <v>ok</v>
          </cell>
          <cell r="C31">
            <v>308.55765247344971</v>
          </cell>
        </row>
        <row r="32">
          <cell r="A32" t="str">
            <v>redcyc6</v>
          </cell>
          <cell r="B32" t="str">
            <v>ok</v>
          </cell>
          <cell r="C32">
            <v>20.50856876373291</v>
          </cell>
        </row>
        <row r="33">
          <cell r="A33" t="str">
            <v>cpdm5</v>
          </cell>
          <cell r="B33" t="str">
            <v>ok</v>
          </cell>
          <cell r="C33">
            <v>81.022395133972168</v>
          </cell>
        </row>
        <row r="34">
          <cell r="A34" t="str">
            <v>d1</v>
          </cell>
          <cell r="B34" t="str">
            <v>ok</v>
          </cell>
          <cell r="C34">
            <v>113.3221280574799</v>
          </cell>
        </row>
        <row r="35">
          <cell r="A35" t="str">
            <v>rbpl</v>
          </cell>
          <cell r="B35" t="str">
            <v>ok</v>
          </cell>
          <cell r="C35">
            <v>252.60204005241391</v>
          </cell>
        </row>
        <row r="36">
          <cell r="A36" t="str">
            <v>noon5</v>
          </cell>
          <cell r="B36" t="str">
            <v>ok</v>
          </cell>
          <cell r="C36">
            <v>15.01265287399292</v>
          </cell>
        </row>
        <row r="37">
          <cell r="A37" t="str">
            <v>hcyclic6</v>
          </cell>
          <cell r="B37" t="str">
            <v>ok</v>
          </cell>
          <cell r="C37">
            <v>13.578731536865231</v>
          </cell>
        </row>
        <row r="38">
          <cell r="A38" t="str">
            <v>assur44</v>
          </cell>
          <cell r="B38" t="str">
            <v>ok</v>
          </cell>
          <cell r="C38">
            <v>369.58710527420038</v>
          </cell>
        </row>
        <row r="39">
          <cell r="A39" t="str">
            <v>cohn3</v>
          </cell>
          <cell r="B39" t="str">
            <v>ok</v>
          </cell>
          <cell r="C39">
            <v>5393.4392514228821</v>
          </cell>
        </row>
        <row r="40">
          <cell r="A40" t="str">
            <v>eco9</v>
          </cell>
          <cell r="B40" t="str">
            <v>ok</v>
          </cell>
          <cell r="C40">
            <v>283.20229744911188</v>
          </cell>
        </row>
        <row r="41">
          <cell r="A41" t="str">
            <v>rbpl24</v>
          </cell>
          <cell r="B41" t="str">
            <v>ok</v>
          </cell>
          <cell r="C41">
            <v>168.5715479850769</v>
          </cell>
        </row>
        <row r="42">
          <cell r="A42" t="str">
            <v>lichtblau</v>
          </cell>
          <cell r="B42" t="str">
            <v>ok</v>
          </cell>
          <cell r="C42">
            <v>1.2498335838317871</v>
          </cell>
        </row>
        <row r="43">
          <cell r="A43" t="str">
            <v>des18_3</v>
          </cell>
          <cell r="B43" t="str">
            <v>ok</v>
          </cell>
          <cell r="C43">
            <v>6.5098941326141357</v>
          </cell>
        </row>
        <row r="44">
          <cell r="A44" t="str">
            <v>redeco8</v>
          </cell>
          <cell r="B44" t="str">
            <v>ok</v>
          </cell>
          <cell r="C44">
            <v>6.9907906055450439</v>
          </cell>
        </row>
        <row r="45">
          <cell r="A45" t="str">
            <v>butcher8</v>
          </cell>
          <cell r="B45" t="str">
            <v>ok</v>
          </cell>
          <cell r="C45">
            <v>22.462019443511959</v>
          </cell>
        </row>
        <row r="46">
          <cell r="A46" t="str">
            <v>katsura8</v>
          </cell>
          <cell r="B46" t="str">
            <v>ok</v>
          </cell>
          <cell r="C46">
            <v>609.41215872764587</v>
          </cell>
        </row>
        <row r="47">
          <cell r="A47" t="str">
            <v>kinema</v>
          </cell>
          <cell r="B47" t="str">
            <v>ok</v>
          </cell>
          <cell r="C47">
            <v>7.5223245620727539</v>
          </cell>
        </row>
        <row r="48">
          <cell r="A48" t="str">
            <v>f744</v>
          </cell>
          <cell r="B48" t="str">
            <v>ok</v>
          </cell>
          <cell r="C48">
            <v>266.52049398422241</v>
          </cell>
        </row>
        <row r="49">
          <cell r="A49" t="str">
            <v>reimer4</v>
          </cell>
          <cell r="B49" t="str">
            <v>ok</v>
          </cell>
          <cell r="C49">
            <v>2.7079026699066162</v>
          </cell>
        </row>
        <row r="50">
          <cell r="A50" t="str">
            <v>rabmo</v>
          </cell>
          <cell r="B50" t="str">
            <v>ok</v>
          </cell>
          <cell r="C50">
            <v>4.3276536464691162</v>
          </cell>
        </row>
        <row r="51">
          <cell r="A51" t="str">
            <v>eco10</v>
          </cell>
          <cell r="B51" t="str">
            <v>ok</v>
          </cell>
          <cell r="C51">
            <v>2247.4632723331451</v>
          </cell>
        </row>
        <row r="52">
          <cell r="A52" t="str">
            <v>f855</v>
          </cell>
          <cell r="B52" t="str">
            <v>ok</v>
          </cell>
          <cell r="C52">
            <v>5282.1062586307526</v>
          </cell>
        </row>
        <row r="53">
          <cell r="A53" t="str">
            <v>cyclic6</v>
          </cell>
          <cell r="B53" t="str">
            <v>ok</v>
          </cell>
          <cell r="C53">
            <v>29.971397638320919</v>
          </cell>
        </row>
        <row r="54">
          <cell r="A54" t="str">
            <v>hairer2</v>
          </cell>
          <cell r="B54" t="str">
            <v>ok</v>
          </cell>
          <cell r="C54">
            <v>943.05691242218018</v>
          </cell>
        </row>
        <row r="55">
          <cell r="A55" t="str">
            <v>reimer6</v>
          </cell>
          <cell r="B55" t="str">
            <v>ok</v>
          </cell>
          <cell r="C55">
            <v>1138.248934268951</v>
          </cell>
        </row>
        <row r="56">
          <cell r="A56" t="str">
            <v>dl</v>
          </cell>
          <cell r="B56" t="str">
            <v>ok</v>
          </cell>
          <cell r="C56">
            <v>3024.8965256214142</v>
          </cell>
        </row>
        <row r="57">
          <cell r="A57" t="str">
            <v>speer</v>
          </cell>
          <cell r="B57" t="str">
            <v>ok</v>
          </cell>
          <cell r="C57">
            <v>18.382340908050541</v>
          </cell>
        </row>
        <row r="58">
          <cell r="A58" t="str">
            <v>noon6</v>
          </cell>
          <cell r="B58" t="str">
            <v>ok</v>
          </cell>
          <cell r="C58">
            <v>303.74981713294977</v>
          </cell>
        </row>
        <row r="59">
          <cell r="A59" t="str">
            <v>fabrice24</v>
          </cell>
          <cell r="B59" t="str">
            <v>ok</v>
          </cell>
          <cell r="C59">
            <v>146.785285949707</v>
          </cell>
        </row>
        <row r="60">
          <cell r="A60" t="str">
            <v>chemkin</v>
          </cell>
          <cell r="B60" t="str">
            <v>ok</v>
          </cell>
          <cell r="C60">
            <v>452.89646482467651</v>
          </cell>
        </row>
        <row r="61">
          <cell r="A61" t="str">
            <v>cassou</v>
          </cell>
          <cell r="B61" t="str">
            <v>ok</v>
          </cell>
          <cell r="C61">
            <v>3.3799118995666499</v>
          </cell>
        </row>
        <row r="62">
          <cell r="A62" t="str">
            <v>matrix</v>
          </cell>
          <cell r="B62" t="str">
            <v>ok</v>
          </cell>
          <cell r="C62">
            <v>8.0885004997253418</v>
          </cell>
        </row>
      </sheetData>
      <sheetData sheetId="4">
        <row r="1">
          <cell r="A1" t="str">
            <v>name</v>
          </cell>
          <cell r="B1" t="str">
            <v>status</v>
          </cell>
          <cell r="C1" t="str">
            <v>solve_time_sec</v>
          </cell>
        </row>
        <row r="2">
          <cell r="A2" t="str">
            <v>eco8</v>
          </cell>
          <cell r="B2" t="str">
            <v>ok</v>
          </cell>
          <cell r="C2">
            <v>50.373937129974372</v>
          </cell>
        </row>
        <row r="3">
          <cell r="A3" t="str">
            <v>jcf26</v>
          </cell>
          <cell r="B3" t="str">
            <v>ok</v>
          </cell>
          <cell r="C3">
            <v>226.5109148025513</v>
          </cell>
        </row>
        <row r="4">
          <cell r="A4" t="str">
            <v>redeco9</v>
          </cell>
          <cell r="B4" t="str">
            <v>ok</v>
          </cell>
          <cell r="C4">
            <v>44.915988683700562</v>
          </cell>
        </row>
        <row r="5">
          <cell r="A5" t="str">
            <v>redeco10</v>
          </cell>
          <cell r="B5" t="str">
            <v>ok</v>
          </cell>
          <cell r="C5">
            <v>304.17291402816772</v>
          </cell>
        </row>
        <row r="6">
          <cell r="A6" t="str">
            <v>dessin1</v>
          </cell>
          <cell r="B6" t="str">
            <v>ok</v>
          </cell>
          <cell r="C6">
            <v>6.878300666809082</v>
          </cell>
        </row>
        <row r="7">
          <cell r="A7" t="str">
            <v>pinchon1</v>
          </cell>
          <cell r="B7" t="str">
            <v>ok</v>
          </cell>
          <cell r="C7">
            <v>1479.125207901001</v>
          </cell>
        </row>
        <row r="8">
          <cell r="A8" t="str">
            <v>kin1</v>
          </cell>
          <cell r="B8" t="str">
            <v>ok</v>
          </cell>
          <cell r="C8">
            <v>52.027010202407837</v>
          </cell>
        </row>
        <row r="9">
          <cell r="A9" t="str">
            <v>camera1s</v>
          </cell>
          <cell r="B9" t="str">
            <v>ok</v>
          </cell>
          <cell r="C9">
            <v>2.255509614944458</v>
          </cell>
        </row>
        <row r="10">
          <cell r="A10" t="str">
            <v>tangents</v>
          </cell>
          <cell r="B10" t="str">
            <v>ok</v>
          </cell>
          <cell r="C10">
            <v>1.951467752456665</v>
          </cell>
        </row>
        <row r="11">
          <cell r="A11" t="str">
            <v>reimer5</v>
          </cell>
          <cell r="B11" t="str">
            <v>ok</v>
          </cell>
          <cell r="C11">
            <v>138.4456901550293</v>
          </cell>
        </row>
        <row r="12">
          <cell r="A12" t="str">
            <v>benchmark_D1</v>
          </cell>
          <cell r="B12" t="str">
            <v>ok</v>
          </cell>
          <cell r="C12">
            <v>145.13331270217901</v>
          </cell>
        </row>
        <row r="13">
          <cell r="A13" t="str">
            <v>katsura6</v>
          </cell>
          <cell r="B13" t="str">
            <v>ok</v>
          </cell>
          <cell r="C13">
            <v>11.250807762146</v>
          </cell>
        </row>
        <row r="14">
          <cell r="A14" t="str">
            <v>hietarinta1</v>
          </cell>
          <cell r="B14" t="str">
            <v>ok</v>
          </cell>
          <cell r="C14">
            <v>284.03526139259338</v>
          </cell>
        </row>
        <row r="15">
          <cell r="A15" t="str">
            <v>extcyc5</v>
          </cell>
          <cell r="B15" t="str">
            <v>ok</v>
          </cell>
          <cell r="C15">
            <v>84.097386598587036</v>
          </cell>
        </row>
        <row r="16">
          <cell r="A16" t="str">
            <v>chemequs</v>
          </cell>
          <cell r="B16" t="str">
            <v>ok</v>
          </cell>
          <cell r="C16">
            <v>1.7382650375366211</v>
          </cell>
        </row>
        <row r="17">
          <cell r="A17" t="str">
            <v>benchmark_i1</v>
          </cell>
          <cell r="B17" t="str">
            <v>ok</v>
          </cell>
          <cell r="C17">
            <v>342.53411221504211</v>
          </cell>
        </row>
        <row r="18">
          <cell r="A18" t="str">
            <v>vermeer</v>
          </cell>
          <cell r="B18" t="str">
            <v>ok</v>
          </cell>
          <cell r="C18">
            <v>1.723716020584106</v>
          </cell>
        </row>
        <row r="19">
          <cell r="A19" t="str">
            <v>redeco11</v>
          </cell>
          <cell r="B19" t="str">
            <v>ok</v>
          </cell>
          <cell r="C19">
            <v>1297.036682844162</v>
          </cell>
        </row>
        <row r="20">
          <cell r="A20" t="str">
            <v>kotsireas</v>
          </cell>
          <cell r="B20" t="str">
            <v>ok</v>
          </cell>
          <cell r="C20">
            <v>448.23497700691217</v>
          </cell>
        </row>
        <row r="21">
          <cell r="A21" t="str">
            <v>geneig</v>
          </cell>
          <cell r="B21" t="str">
            <v>ok</v>
          </cell>
          <cell r="C21">
            <v>1.125511646270752</v>
          </cell>
        </row>
        <row r="22">
          <cell r="A22" t="str">
            <v>f633</v>
          </cell>
          <cell r="B22" t="str">
            <v>ok</v>
          </cell>
          <cell r="C22">
            <v>2.1572873592376709</v>
          </cell>
        </row>
        <row r="23">
          <cell r="A23" t="str">
            <v>des22_24</v>
          </cell>
          <cell r="B23" t="str">
            <v>ok</v>
          </cell>
          <cell r="C23">
            <v>8.5684263706207275</v>
          </cell>
        </row>
        <row r="24">
          <cell r="A24" t="str">
            <v>i1</v>
          </cell>
          <cell r="B24" t="str">
            <v>ok</v>
          </cell>
          <cell r="C24">
            <v>366.71126961708069</v>
          </cell>
        </row>
        <row r="25">
          <cell r="A25" t="str">
            <v>eco7</v>
          </cell>
          <cell r="B25" t="str">
            <v>ok</v>
          </cell>
          <cell r="C25">
            <v>6.0026090145111084</v>
          </cell>
        </row>
        <row r="26">
          <cell r="A26" t="str">
            <v>butcher</v>
          </cell>
          <cell r="B26" t="str">
            <v>ok</v>
          </cell>
          <cell r="C26">
            <v>5.0957410335540771</v>
          </cell>
        </row>
        <row r="27">
          <cell r="A27" t="str">
            <v>cohn2</v>
          </cell>
          <cell r="B27" t="str">
            <v>ok</v>
          </cell>
          <cell r="C27">
            <v>7.2175328731536874</v>
          </cell>
        </row>
        <row r="28">
          <cell r="A28" t="str">
            <v>filter9</v>
          </cell>
          <cell r="B28" t="str">
            <v>ok</v>
          </cell>
          <cell r="C28">
            <v>227.53408026695249</v>
          </cell>
        </row>
        <row r="29">
          <cell r="A29" t="str">
            <v>dessin2</v>
          </cell>
          <cell r="B29" t="str">
            <v>ok</v>
          </cell>
          <cell r="C29">
            <v>10.107896089553829</v>
          </cell>
        </row>
        <row r="30">
          <cell r="A30" t="str">
            <v>katsura7</v>
          </cell>
          <cell r="B30" t="str">
            <v>ok</v>
          </cell>
          <cell r="C30">
            <v>98.905332088470459</v>
          </cell>
        </row>
        <row r="31">
          <cell r="A31" t="str">
            <v>hf744</v>
          </cell>
          <cell r="B31" t="str">
            <v>ok</v>
          </cell>
          <cell r="C31">
            <v>279.04621982574457</v>
          </cell>
        </row>
        <row r="32">
          <cell r="A32" t="str">
            <v>redcyc6</v>
          </cell>
          <cell r="B32" t="str">
            <v>ok</v>
          </cell>
          <cell r="C32">
            <v>19.099498271942139</v>
          </cell>
        </row>
        <row r="33">
          <cell r="A33" t="str">
            <v>cpdm5</v>
          </cell>
          <cell r="B33" t="str">
            <v>ok</v>
          </cell>
          <cell r="C33">
            <v>65.092250108718872</v>
          </cell>
        </row>
        <row r="34">
          <cell r="A34" t="str">
            <v>d1</v>
          </cell>
          <cell r="B34" t="str">
            <v>ok</v>
          </cell>
          <cell r="C34">
            <v>120.90241456031799</v>
          </cell>
        </row>
        <row r="35">
          <cell r="A35" t="str">
            <v>rbpl</v>
          </cell>
          <cell r="B35" t="str">
            <v>ok</v>
          </cell>
          <cell r="C35">
            <v>220.10635805129999</v>
          </cell>
        </row>
        <row r="36">
          <cell r="A36" t="str">
            <v>noon5</v>
          </cell>
          <cell r="B36" t="str">
            <v>ok</v>
          </cell>
          <cell r="C36">
            <v>13.914680480957029</v>
          </cell>
        </row>
        <row r="37">
          <cell r="A37" t="str">
            <v>hcyclic6</v>
          </cell>
          <cell r="B37" t="str">
            <v>ok</v>
          </cell>
          <cell r="C37">
            <v>13.73884296417236</v>
          </cell>
        </row>
        <row r="38">
          <cell r="A38" t="str">
            <v>assur44</v>
          </cell>
          <cell r="B38" t="str">
            <v>ok</v>
          </cell>
          <cell r="C38">
            <v>452.04338479042048</v>
          </cell>
        </row>
        <row r="39">
          <cell r="A39" t="str">
            <v>cohn3</v>
          </cell>
          <cell r="B39" t="str">
            <v>ok</v>
          </cell>
          <cell r="C39">
            <v>617.93695616722107</v>
          </cell>
        </row>
        <row r="40">
          <cell r="A40" t="str">
            <v>eco9</v>
          </cell>
          <cell r="B40" t="str">
            <v>ok</v>
          </cell>
          <cell r="C40">
            <v>355.92883110046392</v>
          </cell>
        </row>
        <row r="41">
          <cell r="A41" t="str">
            <v>rbpl24</v>
          </cell>
          <cell r="B41" t="str">
            <v>ok</v>
          </cell>
          <cell r="C41">
            <v>193.5542619228363</v>
          </cell>
        </row>
        <row r="42">
          <cell r="A42" t="str">
            <v>lichtblau</v>
          </cell>
          <cell r="B42" t="str">
            <v>ok</v>
          </cell>
          <cell r="C42">
            <v>1.2775788307189939</v>
          </cell>
        </row>
        <row r="43">
          <cell r="A43" t="str">
            <v>des18_3</v>
          </cell>
          <cell r="B43" t="str">
            <v>ok</v>
          </cell>
          <cell r="C43">
            <v>6.813368558883667</v>
          </cell>
        </row>
        <row r="44">
          <cell r="A44" t="str">
            <v>redeco8</v>
          </cell>
          <cell r="B44" t="str">
            <v>ok</v>
          </cell>
          <cell r="C44">
            <v>5.9130589962005624</v>
          </cell>
        </row>
        <row r="45">
          <cell r="A45" t="str">
            <v>butcher8</v>
          </cell>
          <cell r="B45" t="str">
            <v>ok</v>
          </cell>
          <cell r="C45">
            <v>33.393537282943733</v>
          </cell>
        </row>
        <row r="46">
          <cell r="A46" t="str">
            <v>katsura8</v>
          </cell>
          <cell r="B46" t="str">
            <v>ok</v>
          </cell>
          <cell r="C46">
            <v>558.79100060462952</v>
          </cell>
        </row>
        <row r="47">
          <cell r="A47" t="str">
            <v>kinema</v>
          </cell>
          <cell r="B47" t="str">
            <v>ok</v>
          </cell>
          <cell r="C47">
            <v>12.115880012512211</v>
          </cell>
        </row>
        <row r="48">
          <cell r="A48" t="str">
            <v>f744</v>
          </cell>
          <cell r="B48" t="str">
            <v>ok</v>
          </cell>
          <cell r="C48">
            <v>312.5510938167572</v>
          </cell>
        </row>
        <row r="49">
          <cell r="A49" t="str">
            <v>reimer4</v>
          </cell>
          <cell r="B49" t="str">
            <v>ok</v>
          </cell>
          <cell r="C49">
            <v>2.5906884670257568</v>
          </cell>
        </row>
        <row r="50">
          <cell r="A50" t="str">
            <v>rabmo</v>
          </cell>
          <cell r="B50" t="str">
            <v>ok</v>
          </cell>
          <cell r="C50">
            <v>4.3614299297332764</v>
          </cell>
        </row>
        <row r="51">
          <cell r="A51" t="str">
            <v>eco10</v>
          </cell>
          <cell r="B51" t="str">
            <v>ok</v>
          </cell>
          <cell r="C51">
            <v>2115.4348285198212</v>
          </cell>
        </row>
        <row r="52">
          <cell r="A52" t="str">
            <v>f855</v>
          </cell>
          <cell r="B52" t="str">
            <v>ok</v>
          </cell>
          <cell r="C52">
            <v>2699.6370847225189</v>
          </cell>
        </row>
        <row r="53">
          <cell r="A53" t="str">
            <v>cyclic6</v>
          </cell>
          <cell r="B53" t="str">
            <v>ok</v>
          </cell>
          <cell r="C53">
            <v>31.59534049034119</v>
          </cell>
        </row>
        <row r="54">
          <cell r="A54" t="str">
            <v>hairer2</v>
          </cell>
          <cell r="B54" t="str">
            <v>ok</v>
          </cell>
          <cell r="C54">
            <v>1069.1446053981781</v>
          </cell>
        </row>
        <row r="55">
          <cell r="A55" t="str">
            <v>reimer6</v>
          </cell>
          <cell r="B55" t="str">
            <v>ok</v>
          </cell>
          <cell r="C55">
            <v>989.02933526039124</v>
          </cell>
        </row>
        <row r="56">
          <cell r="A56" t="str">
            <v>dl</v>
          </cell>
          <cell r="B56" t="str">
            <v>ok</v>
          </cell>
          <cell r="C56">
            <v>3495.8658490180969</v>
          </cell>
        </row>
        <row r="57">
          <cell r="A57" t="str">
            <v>speer</v>
          </cell>
          <cell r="B57" t="str">
            <v>ok</v>
          </cell>
          <cell r="C57">
            <v>11.813479423522949</v>
          </cell>
        </row>
        <row r="58">
          <cell r="A58" t="str">
            <v>noon6</v>
          </cell>
          <cell r="B58" t="str">
            <v>ok</v>
          </cell>
          <cell r="C58">
            <v>226.29523682594299</v>
          </cell>
        </row>
        <row r="59">
          <cell r="A59" t="str">
            <v>fabrice24</v>
          </cell>
          <cell r="B59" t="str">
            <v>ok</v>
          </cell>
          <cell r="C59">
            <v>135.79255867004389</v>
          </cell>
        </row>
        <row r="60">
          <cell r="A60" t="str">
            <v>chemkin</v>
          </cell>
          <cell r="B60" t="str">
            <v>ok</v>
          </cell>
          <cell r="C60">
            <v>493.77350378036499</v>
          </cell>
        </row>
        <row r="61">
          <cell r="A61" t="str">
            <v>cassou</v>
          </cell>
          <cell r="B61" t="str">
            <v>ok</v>
          </cell>
          <cell r="C61">
            <v>3.556601762771606</v>
          </cell>
        </row>
        <row r="62">
          <cell r="A62" t="str">
            <v>matrix</v>
          </cell>
          <cell r="B62" t="str">
            <v>ok</v>
          </cell>
          <cell r="C62">
            <v>8.7798089981079102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5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157</v>
      </c>
      <c r="C2">
        <v>36.158915042877197</v>
      </c>
      <c r="D2">
        <v>834</v>
      </c>
      <c r="E2">
        <v>1048</v>
      </c>
      <c r="F2">
        <v>8</v>
      </c>
      <c r="G2">
        <v>8</v>
      </c>
      <c r="H2">
        <v>0.67441860465116277</v>
      </c>
      <c r="I2">
        <v>1</v>
      </c>
      <c r="J2">
        <v>1.953488372093023</v>
      </c>
      <c r="K2">
        <v>1.953488372093023</v>
      </c>
      <c r="L2">
        <v>5.375</v>
      </c>
      <c r="M2">
        <v>7</v>
      </c>
      <c r="N2">
        <v>1</v>
      </c>
      <c r="O2">
        <v>3</v>
      </c>
      <c r="P2">
        <v>84</v>
      </c>
      <c r="Q2">
        <v>43</v>
      </c>
      <c r="R2">
        <v>8</v>
      </c>
      <c r="S2">
        <v>8</v>
      </c>
      <c r="T2">
        <v>260</v>
      </c>
      <c r="U2">
        <v>43</v>
      </c>
      <c r="V2">
        <v>29</v>
      </c>
      <c r="W2">
        <v>84</v>
      </c>
    </row>
    <row r="3" spans="1:23" x14ac:dyDescent="0.2">
      <c r="A3" t="s">
        <v>24</v>
      </c>
      <c r="B3" t="s">
        <v>158</v>
      </c>
      <c r="C3" t="s">
        <v>159</v>
      </c>
      <c r="D3" t="s">
        <v>159</v>
      </c>
      <c r="E3" t="s">
        <v>159</v>
      </c>
      <c r="F3" t="s">
        <v>159</v>
      </c>
      <c r="G3" t="s">
        <v>159</v>
      </c>
      <c r="H3" t="s">
        <v>159</v>
      </c>
      <c r="I3" t="s">
        <v>159</v>
      </c>
      <c r="J3" t="s">
        <v>159</v>
      </c>
      <c r="K3" t="s">
        <v>159</v>
      </c>
      <c r="L3" t="s">
        <v>159</v>
      </c>
      <c r="M3" t="s">
        <v>159</v>
      </c>
      <c r="N3" t="s">
        <v>159</v>
      </c>
      <c r="O3" t="s">
        <v>159</v>
      </c>
      <c r="P3" t="s">
        <v>159</v>
      </c>
      <c r="Q3" t="s">
        <v>159</v>
      </c>
      <c r="R3" t="s">
        <v>159</v>
      </c>
      <c r="S3" t="s">
        <v>159</v>
      </c>
      <c r="T3" t="s">
        <v>159</v>
      </c>
      <c r="U3" t="s">
        <v>159</v>
      </c>
      <c r="V3" t="s">
        <v>159</v>
      </c>
      <c r="W3" t="s">
        <v>159</v>
      </c>
    </row>
    <row r="4" spans="1:23" x14ac:dyDescent="0.2">
      <c r="A4" t="s">
        <v>25</v>
      </c>
      <c r="B4" t="s">
        <v>157</v>
      </c>
      <c r="C4">
        <v>264.64051365852362</v>
      </c>
      <c r="D4">
        <v>3643</v>
      </c>
      <c r="E4">
        <v>1081</v>
      </c>
      <c r="F4">
        <v>34</v>
      </c>
      <c r="G4">
        <v>34</v>
      </c>
      <c r="H4">
        <v>16958.769841269841</v>
      </c>
      <c r="I4">
        <v>1.121472392638037</v>
      </c>
      <c r="J4">
        <v>3.626984126984127</v>
      </c>
      <c r="K4">
        <v>3.2341269841269842</v>
      </c>
      <c r="L4">
        <v>7.4117647058823533</v>
      </c>
      <c r="M4">
        <v>2500000</v>
      </c>
      <c r="N4">
        <v>2</v>
      </c>
      <c r="O4">
        <v>6</v>
      </c>
      <c r="P4">
        <v>815</v>
      </c>
      <c r="Q4">
        <v>252</v>
      </c>
      <c r="R4">
        <v>34</v>
      </c>
      <c r="S4">
        <v>68</v>
      </c>
      <c r="T4">
        <v>16222</v>
      </c>
      <c r="U4">
        <v>2240</v>
      </c>
      <c r="V4">
        <v>4273610</v>
      </c>
      <c r="W4">
        <v>914</v>
      </c>
    </row>
    <row r="5" spans="1:23" x14ac:dyDescent="0.2">
      <c r="A5" t="s">
        <v>26</v>
      </c>
      <c r="B5" t="s">
        <v>157</v>
      </c>
      <c r="C5">
        <v>38.956564426422119</v>
      </c>
      <c r="D5">
        <v>2194</v>
      </c>
      <c r="E5">
        <v>5761</v>
      </c>
      <c r="F5">
        <v>9</v>
      </c>
      <c r="G5">
        <v>9</v>
      </c>
      <c r="H5">
        <v>0.67924528301886788</v>
      </c>
      <c r="I5">
        <v>1</v>
      </c>
      <c r="J5">
        <v>1.5094339622641511</v>
      </c>
      <c r="K5">
        <v>1.5094339622641511</v>
      </c>
      <c r="L5">
        <v>5.8888888888888893</v>
      </c>
      <c r="M5">
        <v>8</v>
      </c>
      <c r="N5">
        <v>1</v>
      </c>
      <c r="O5">
        <v>2</v>
      </c>
      <c r="P5">
        <v>80</v>
      </c>
      <c r="Q5">
        <v>53</v>
      </c>
      <c r="R5">
        <v>9</v>
      </c>
      <c r="S5">
        <v>9</v>
      </c>
      <c r="T5">
        <v>397</v>
      </c>
      <c r="U5">
        <v>65</v>
      </c>
      <c r="V5">
        <v>36</v>
      </c>
      <c r="W5">
        <v>80</v>
      </c>
    </row>
    <row r="6" spans="1:23" x14ac:dyDescent="0.2">
      <c r="A6" t="s">
        <v>27</v>
      </c>
      <c r="B6" t="s">
        <v>157</v>
      </c>
      <c r="C6">
        <v>274.73450613021851</v>
      </c>
      <c r="D6">
        <v>7418</v>
      </c>
      <c r="E6">
        <v>24864</v>
      </c>
      <c r="F6">
        <v>10</v>
      </c>
      <c r="G6">
        <v>10</v>
      </c>
      <c r="H6">
        <v>0.703125</v>
      </c>
      <c r="I6">
        <v>1</v>
      </c>
      <c r="J6">
        <v>1.546875</v>
      </c>
      <c r="K6">
        <v>1.546875</v>
      </c>
      <c r="L6">
        <v>6.4</v>
      </c>
      <c r="M6">
        <v>9</v>
      </c>
      <c r="N6">
        <v>1</v>
      </c>
      <c r="O6">
        <v>2</v>
      </c>
      <c r="P6">
        <v>99</v>
      </c>
      <c r="Q6">
        <v>64</v>
      </c>
      <c r="R6">
        <v>10</v>
      </c>
      <c r="S6">
        <v>10</v>
      </c>
      <c r="T6">
        <v>541</v>
      </c>
      <c r="U6">
        <v>82</v>
      </c>
      <c r="V6">
        <v>45</v>
      </c>
      <c r="W6">
        <v>99</v>
      </c>
    </row>
    <row r="7" spans="1:23" x14ac:dyDescent="0.2">
      <c r="A7" t="s">
        <v>28</v>
      </c>
      <c r="B7" t="s">
        <v>157</v>
      </c>
      <c r="C7">
        <v>5.7632207870483398E-2</v>
      </c>
      <c r="D7">
        <v>42</v>
      </c>
      <c r="E7">
        <v>23</v>
      </c>
      <c r="F7">
        <v>8</v>
      </c>
      <c r="G7">
        <v>6</v>
      </c>
      <c r="H7">
        <v>1.1764705882352939</v>
      </c>
      <c r="I7">
        <v>1.1052631578947369</v>
      </c>
      <c r="J7">
        <v>1.2352941176470591</v>
      </c>
      <c r="K7">
        <v>1.117647058823529</v>
      </c>
      <c r="L7">
        <v>2.833333333333333</v>
      </c>
      <c r="M7">
        <v>6</v>
      </c>
      <c r="N7">
        <v>2</v>
      </c>
      <c r="O7">
        <v>3</v>
      </c>
      <c r="P7">
        <v>19</v>
      </c>
      <c r="Q7">
        <v>17</v>
      </c>
      <c r="R7">
        <v>6</v>
      </c>
      <c r="S7">
        <v>10</v>
      </c>
      <c r="T7">
        <v>149</v>
      </c>
      <c r="U7">
        <v>49</v>
      </c>
      <c r="V7">
        <v>20</v>
      </c>
      <c r="W7">
        <v>21</v>
      </c>
    </row>
    <row r="8" spans="1:23" x14ac:dyDescent="0.2">
      <c r="A8" t="s">
        <v>29</v>
      </c>
      <c r="B8" t="s">
        <v>158</v>
      </c>
      <c r="C8" t="s">
        <v>159</v>
      </c>
      <c r="D8" t="s">
        <v>159</v>
      </c>
      <c r="E8" t="s">
        <v>159</v>
      </c>
      <c r="F8" t="s">
        <v>159</v>
      </c>
      <c r="G8" t="s">
        <v>159</v>
      </c>
      <c r="H8" t="s">
        <v>159</v>
      </c>
      <c r="I8" t="s">
        <v>159</v>
      </c>
      <c r="J8" t="s">
        <v>159</v>
      </c>
      <c r="K8" t="s">
        <v>159</v>
      </c>
      <c r="L8" t="s">
        <v>159</v>
      </c>
      <c r="M8" t="s">
        <v>159</v>
      </c>
      <c r="N8" t="s">
        <v>159</v>
      </c>
      <c r="O8" t="s">
        <v>159</v>
      </c>
      <c r="P8" t="s">
        <v>159</v>
      </c>
      <c r="Q8" t="s">
        <v>159</v>
      </c>
      <c r="R8" t="s">
        <v>159</v>
      </c>
      <c r="S8" t="s">
        <v>159</v>
      </c>
      <c r="T8" t="s">
        <v>159</v>
      </c>
      <c r="U8" t="s">
        <v>159</v>
      </c>
      <c r="V8" t="s">
        <v>159</v>
      </c>
      <c r="W8" t="s">
        <v>159</v>
      </c>
    </row>
    <row r="9" spans="1:23" x14ac:dyDescent="0.2">
      <c r="A9" t="s">
        <v>30</v>
      </c>
      <c r="B9" t="s">
        <v>157</v>
      </c>
      <c r="C9">
        <v>5.3499529361724854</v>
      </c>
      <c r="D9">
        <v>275</v>
      </c>
      <c r="E9">
        <v>377</v>
      </c>
      <c r="F9">
        <v>8</v>
      </c>
      <c r="G9">
        <v>8</v>
      </c>
      <c r="H9">
        <v>130.31372549019611</v>
      </c>
      <c r="I9">
        <v>1.053191489361702</v>
      </c>
      <c r="J9">
        <v>1.9411764705882351</v>
      </c>
      <c r="K9">
        <v>1.8431372549019609</v>
      </c>
      <c r="L9">
        <v>6.375</v>
      </c>
      <c r="M9">
        <v>1056</v>
      </c>
      <c r="N9">
        <v>2</v>
      </c>
      <c r="O9">
        <v>3</v>
      </c>
      <c r="P9">
        <v>94</v>
      </c>
      <c r="Q9">
        <v>51</v>
      </c>
      <c r="R9">
        <v>8</v>
      </c>
      <c r="S9">
        <v>9</v>
      </c>
      <c r="T9">
        <v>360</v>
      </c>
      <c r="U9">
        <v>54</v>
      </c>
      <c r="V9">
        <v>6646</v>
      </c>
      <c r="W9">
        <v>99</v>
      </c>
    </row>
    <row r="10" spans="1:23" x14ac:dyDescent="0.2">
      <c r="A10" t="s">
        <v>31</v>
      </c>
      <c r="B10" t="s">
        <v>157</v>
      </c>
      <c r="C10">
        <v>2189.1673905849461</v>
      </c>
      <c r="D10">
        <v>4420</v>
      </c>
      <c r="E10">
        <v>2283</v>
      </c>
      <c r="F10">
        <v>29</v>
      </c>
      <c r="G10">
        <v>29</v>
      </c>
      <c r="H10">
        <v>52967968324144.641</v>
      </c>
      <c r="I10">
        <v>1.4862385321100919</v>
      </c>
      <c r="J10">
        <v>1.8984375</v>
      </c>
      <c r="K10">
        <v>1.27734375</v>
      </c>
      <c r="L10">
        <v>8.8275862068965516</v>
      </c>
      <c r="M10">
        <v>1E+16</v>
      </c>
      <c r="N10">
        <v>16</v>
      </c>
      <c r="O10">
        <v>3</v>
      </c>
      <c r="P10">
        <v>327</v>
      </c>
      <c r="Q10">
        <v>256</v>
      </c>
      <c r="R10">
        <v>29</v>
      </c>
      <c r="S10">
        <v>47</v>
      </c>
      <c r="T10">
        <v>11546</v>
      </c>
      <c r="U10">
        <v>1250</v>
      </c>
      <c r="V10">
        <v>1.355979989098103E+16</v>
      </c>
      <c r="W10">
        <v>486</v>
      </c>
    </row>
    <row r="11" spans="1:23" x14ac:dyDescent="0.2">
      <c r="A11" t="s">
        <v>32</v>
      </c>
      <c r="B11" t="s">
        <v>158</v>
      </c>
      <c r="C11" t="s">
        <v>159</v>
      </c>
      <c r="D11" t="s">
        <v>159</v>
      </c>
      <c r="E11" t="s">
        <v>159</v>
      </c>
      <c r="F11" t="s">
        <v>159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  <c r="O11" t="s">
        <v>159</v>
      </c>
      <c r="P11" t="s">
        <v>159</v>
      </c>
      <c r="Q11" t="s">
        <v>159</v>
      </c>
      <c r="R11" t="s">
        <v>159</v>
      </c>
      <c r="S11" t="s">
        <v>159</v>
      </c>
      <c r="T11" t="s">
        <v>159</v>
      </c>
      <c r="U11" t="s">
        <v>159</v>
      </c>
      <c r="V11" t="s">
        <v>159</v>
      </c>
      <c r="W11" t="s">
        <v>159</v>
      </c>
    </row>
    <row r="12" spans="1:23" x14ac:dyDescent="0.2">
      <c r="A12" t="s">
        <v>33</v>
      </c>
      <c r="B12" t="s">
        <v>157</v>
      </c>
      <c r="C12">
        <v>62.350943326950073</v>
      </c>
      <c r="D12">
        <v>2022</v>
      </c>
      <c r="E12">
        <v>1827</v>
      </c>
      <c r="F12">
        <v>12</v>
      </c>
      <c r="G12">
        <v>12</v>
      </c>
      <c r="H12">
        <v>5592.782608695652</v>
      </c>
      <c r="I12">
        <v>1.203389830508474</v>
      </c>
      <c r="J12">
        <v>1.543478260869565</v>
      </c>
      <c r="K12">
        <v>1.2826086956521741</v>
      </c>
      <c r="L12">
        <v>3.833333333333333</v>
      </c>
      <c r="M12">
        <v>39701</v>
      </c>
      <c r="N12">
        <v>2</v>
      </c>
      <c r="O12">
        <v>3</v>
      </c>
      <c r="P12">
        <v>59</v>
      </c>
      <c r="Q12">
        <v>46</v>
      </c>
      <c r="R12">
        <v>12</v>
      </c>
      <c r="S12">
        <v>24</v>
      </c>
      <c r="T12">
        <v>1033</v>
      </c>
      <c r="U12">
        <v>263</v>
      </c>
      <c r="V12">
        <v>257268</v>
      </c>
      <c r="W12">
        <v>71</v>
      </c>
    </row>
    <row r="13" spans="1:23" x14ac:dyDescent="0.2">
      <c r="A13" t="s">
        <v>34</v>
      </c>
      <c r="B13" t="s">
        <v>157</v>
      </c>
      <c r="C13">
        <v>0.18502926826477051</v>
      </c>
      <c r="D13">
        <v>25</v>
      </c>
      <c r="E13">
        <v>19</v>
      </c>
      <c r="F13">
        <v>4</v>
      </c>
      <c r="G13">
        <v>4</v>
      </c>
      <c r="H13">
        <v>5.6166666666666663</v>
      </c>
      <c r="I13">
        <v>1.2</v>
      </c>
      <c r="J13">
        <v>1.6</v>
      </c>
      <c r="K13">
        <v>1.333333333333333</v>
      </c>
      <c r="L13">
        <v>15</v>
      </c>
      <c r="M13">
        <v>9</v>
      </c>
      <c r="N13">
        <v>2</v>
      </c>
      <c r="O13">
        <v>2</v>
      </c>
      <c r="P13">
        <v>80</v>
      </c>
      <c r="Q13">
        <v>60</v>
      </c>
      <c r="R13">
        <v>4</v>
      </c>
      <c r="S13">
        <v>8</v>
      </c>
      <c r="T13">
        <v>384</v>
      </c>
      <c r="U13">
        <v>24</v>
      </c>
      <c r="V13">
        <v>337</v>
      </c>
      <c r="W13">
        <v>96</v>
      </c>
    </row>
    <row r="14" spans="1:23" x14ac:dyDescent="0.2">
      <c r="A14" t="s">
        <v>35</v>
      </c>
      <c r="B14" t="s">
        <v>157</v>
      </c>
      <c r="C14">
        <v>2.0045819282531738</v>
      </c>
      <c r="D14">
        <v>177</v>
      </c>
      <c r="E14">
        <v>102</v>
      </c>
      <c r="F14">
        <v>6</v>
      </c>
      <c r="G14">
        <v>6</v>
      </c>
      <c r="H14">
        <v>5777.0853658536589</v>
      </c>
      <c r="I14">
        <v>1</v>
      </c>
      <c r="J14">
        <v>1.51219512195122</v>
      </c>
      <c r="K14">
        <v>1.51219512195122</v>
      </c>
      <c r="L14">
        <v>13.66666666666667</v>
      </c>
      <c r="M14">
        <v>57031</v>
      </c>
      <c r="N14">
        <v>1</v>
      </c>
      <c r="O14">
        <v>2</v>
      </c>
      <c r="P14">
        <v>124</v>
      </c>
      <c r="Q14">
        <v>82</v>
      </c>
      <c r="R14">
        <v>6</v>
      </c>
      <c r="S14">
        <v>6</v>
      </c>
      <c r="T14">
        <v>368</v>
      </c>
      <c r="U14">
        <v>24</v>
      </c>
      <c r="V14">
        <v>473721</v>
      </c>
      <c r="W14">
        <v>124</v>
      </c>
    </row>
    <row r="15" spans="1:23" x14ac:dyDescent="0.2">
      <c r="A15" t="s">
        <v>36</v>
      </c>
      <c r="B15" t="s">
        <v>157</v>
      </c>
      <c r="C15">
        <v>2.6958248615264888</v>
      </c>
      <c r="D15">
        <v>226</v>
      </c>
      <c r="E15">
        <v>140</v>
      </c>
      <c r="F15">
        <v>6</v>
      </c>
      <c r="G15">
        <v>6</v>
      </c>
      <c r="H15">
        <v>6.5882352941176467</v>
      </c>
      <c r="I15">
        <v>1.3731343283582089</v>
      </c>
      <c r="J15">
        <v>1.803921568627451</v>
      </c>
      <c r="K15">
        <v>1.313725490196078</v>
      </c>
      <c r="L15">
        <v>8.5</v>
      </c>
      <c r="M15">
        <v>50</v>
      </c>
      <c r="N15">
        <v>2</v>
      </c>
      <c r="O15">
        <v>2</v>
      </c>
      <c r="P15">
        <v>67</v>
      </c>
      <c r="Q15">
        <v>51</v>
      </c>
      <c r="R15">
        <v>6</v>
      </c>
      <c r="S15">
        <v>12</v>
      </c>
      <c r="T15">
        <v>520</v>
      </c>
      <c r="U15">
        <v>60</v>
      </c>
      <c r="V15">
        <v>336</v>
      </c>
      <c r="W15">
        <v>92</v>
      </c>
    </row>
    <row r="16" spans="1:23" x14ac:dyDescent="0.2">
      <c r="A16" t="s">
        <v>37</v>
      </c>
      <c r="B16" t="s">
        <v>157</v>
      </c>
      <c r="C16">
        <v>5.7525634765625E-2</v>
      </c>
      <c r="D16">
        <v>11</v>
      </c>
      <c r="E16">
        <v>14</v>
      </c>
      <c r="F16">
        <v>4</v>
      </c>
      <c r="G16">
        <v>3</v>
      </c>
      <c r="H16">
        <v>0</v>
      </c>
      <c r="I16">
        <v>12.6</v>
      </c>
      <c r="J16">
        <v>15.75</v>
      </c>
      <c r="K16">
        <v>1.25</v>
      </c>
      <c r="L16">
        <v>2.666666666666667</v>
      </c>
      <c r="M16">
        <v>0</v>
      </c>
      <c r="N16">
        <v>40</v>
      </c>
      <c r="O16">
        <v>2</v>
      </c>
      <c r="P16">
        <v>10</v>
      </c>
      <c r="Q16">
        <v>8</v>
      </c>
      <c r="R16">
        <v>3</v>
      </c>
      <c r="S16">
        <v>80</v>
      </c>
      <c r="T16">
        <v>514</v>
      </c>
      <c r="U16">
        <v>146</v>
      </c>
      <c r="V16">
        <v>0</v>
      </c>
      <c r="W16">
        <v>126</v>
      </c>
    </row>
    <row r="17" spans="1:23" x14ac:dyDescent="0.2">
      <c r="A17" t="s">
        <v>38</v>
      </c>
      <c r="B17" t="s">
        <v>157</v>
      </c>
      <c r="C17">
        <v>142.59690117836001</v>
      </c>
      <c r="D17">
        <v>279</v>
      </c>
      <c r="E17">
        <v>1927</v>
      </c>
      <c r="F17">
        <v>5</v>
      </c>
      <c r="G17">
        <v>5</v>
      </c>
      <c r="H17">
        <v>1.833333333333333</v>
      </c>
      <c r="I17">
        <v>4</v>
      </c>
      <c r="J17">
        <v>3.333333333333333</v>
      </c>
      <c r="K17">
        <v>0.83333333333333337</v>
      </c>
      <c r="L17">
        <v>6</v>
      </c>
      <c r="M17">
        <v>2</v>
      </c>
      <c r="N17">
        <v>6</v>
      </c>
      <c r="O17">
        <v>1</v>
      </c>
      <c r="P17">
        <v>25</v>
      </c>
      <c r="Q17">
        <v>30</v>
      </c>
      <c r="R17">
        <v>5</v>
      </c>
      <c r="S17">
        <v>30</v>
      </c>
      <c r="T17">
        <v>800</v>
      </c>
      <c r="U17">
        <v>130</v>
      </c>
      <c r="V17">
        <v>55</v>
      </c>
      <c r="W17">
        <v>100</v>
      </c>
    </row>
    <row r="18" spans="1:23" x14ac:dyDescent="0.2">
      <c r="A18" t="s">
        <v>39</v>
      </c>
      <c r="B18" t="s">
        <v>158</v>
      </c>
      <c r="C18" t="s">
        <v>159</v>
      </c>
      <c r="D18" t="s">
        <v>159</v>
      </c>
      <c r="E18" t="s">
        <v>159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  <c r="O18" t="s">
        <v>159</v>
      </c>
      <c r="P18" t="s">
        <v>159</v>
      </c>
      <c r="Q18" t="s">
        <v>159</v>
      </c>
      <c r="R18" t="s">
        <v>159</v>
      </c>
      <c r="S18" t="s">
        <v>159</v>
      </c>
      <c r="T18" t="s">
        <v>159</v>
      </c>
      <c r="U18" t="s">
        <v>159</v>
      </c>
      <c r="V18" t="s">
        <v>159</v>
      </c>
      <c r="W18" t="s">
        <v>159</v>
      </c>
    </row>
    <row r="19" spans="1:23" x14ac:dyDescent="0.2">
      <c r="A19" t="s">
        <v>40</v>
      </c>
      <c r="B19" t="s">
        <v>157</v>
      </c>
      <c r="C19">
        <v>5605.9635195732117</v>
      </c>
      <c r="D19">
        <v>6793</v>
      </c>
      <c r="E19">
        <v>27944</v>
      </c>
      <c r="F19">
        <v>14</v>
      </c>
      <c r="G19">
        <v>16</v>
      </c>
      <c r="H19">
        <v>15.93684210526316</v>
      </c>
      <c r="I19">
        <v>1.2583025830258301</v>
      </c>
      <c r="J19">
        <v>3.5894736842105259</v>
      </c>
      <c r="K19">
        <v>2.852631578947368</v>
      </c>
      <c r="L19">
        <v>5.9375</v>
      </c>
      <c r="M19">
        <v>120</v>
      </c>
      <c r="N19">
        <v>4</v>
      </c>
      <c r="O19">
        <v>5</v>
      </c>
      <c r="P19">
        <v>271</v>
      </c>
      <c r="Q19">
        <v>95</v>
      </c>
      <c r="R19">
        <v>16</v>
      </c>
      <c r="S19">
        <v>31</v>
      </c>
      <c r="T19">
        <v>2604</v>
      </c>
      <c r="U19">
        <v>427</v>
      </c>
      <c r="V19">
        <v>1514</v>
      </c>
      <c r="W19">
        <v>341</v>
      </c>
    </row>
    <row r="20" spans="1:23" x14ac:dyDescent="0.2">
      <c r="A20" t="s">
        <v>41</v>
      </c>
      <c r="B20" t="s">
        <v>157</v>
      </c>
      <c r="C20">
        <v>6.3111305236816406E-2</v>
      </c>
      <c r="D20">
        <v>19</v>
      </c>
      <c r="E20">
        <v>7</v>
      </c>
      <c r="F20">
        <v>4</v>
      </c>
      <c r="G20">
        <v>4</v>
      </c>
      <c r="H20">
        <v>7421480.7999999998</v>
      </c>
      <c r="I20">
        <v>1.1200000000000001</v>
      </c>
      <c r="J20">
        <v>1.4</v>
      </c>
      <c r="K20">
        <v>1.25</v>
      </c>
      <c r="L20">
        <v>5</v>
      </c>
      <c r="M20">
        <v>56000000</v>
      </c>
      <c r="N20">
        <v>2</v>
      </c>
      <c r="O20">
        <v>2</v>
      </c>
      <c r="P20">
        <v>25</v>
      </c>
      <c r="Q20">
        <v>20</v>
      </c>
      <c r="R20">
        <v>4</v>
      </c>
      <c r="S20">
        <v>7</v>
      </c>
      <c r="T20">
        <v>112</v>
      </c>
      <c r="U20">
        <v>20</v>
      </c>
      <c r="V20">
        <v>148429616</v>
      </c>
      <c r="W20">
        <v>28</v>
      </c>
    </row>
    <row r="21" spans="1:23" x14ac:dyDescent="0.2">
      <c r="A21" t="s">
        <v>42</v>
      </c>
      <c r="B21" t="s">
        <v>157</v>
      </c>
      <c r="C21">
        <v>7.9634189605712891E-2</v>
      </c>
      <c r="D21">
        <v>19</v>
      </c>
      <c r="E21">
        <v>23</v>
      </c>
      <c r="F21">
        <v>6</v>
      </c>
      <c r="G21">
        <v>4</v>
      </c>
      <c r="H21">
        <v>0</v>
      </c>
      <c r="I21">
        <v>1</v>
      </c>
      <c r="J21">
        <v>2</v>
      </c>
      <c r="K21">
        <v>2</v>
      </c>
      <c r="L21">
        <v>4</v>
      </c>
      <c r="M21">
        <v>0</v>
      </c>
      <c r="N21">
        <v>1</v>
      </c>
      <c r="O21">
        <v>2</v>
      </c>
      <c r="P21">
        <v>32</v>
      </c>
      <c r="Q21">
        <v>16</v>
      </c>
      <c r="R21">
        <v>4</v>
      </c>
      <c r="S21">
        <v>6</v>
      </c>
      <c r="T21">
        <v>64</v>
      </c>
      <c r="U21">
        <v>16</v>
      </c>
      <c r="V21">
        <v>0</v>
      </c>
      <c r="W21">
        <v>32</v>
      </c>
    </row>
    <row r="22" spans="1:23" x14ac:dyDescent="0.2">
      <c r="A22" t="s">
        <v>43</v>
      </c>
      <c r="B22" t="s">
        <v>157</v>
      </c>
      <c r="C22">
        <v>0.22558784484863281</v>
      </c>
      <c r="D22">
        <v>795</v>
      </c>
      <c r="E22">
        <v>173</v>
      </c>
      <c r="F22">
        <v>10</v>
      </c>
      <c r="G22">
        <v>10</v>
      </c>
      <c r="H22">
        <v>13.425000000000001</v>
      </c>
      <c r="I22">
        <v>0.97727272727272729</v>
      </c>
      <c r="J22">
        <v>1.075</v>
      </c>
      <c r="K22">
        <v>1.1000000000000001</v>
      </c>
      <c r="L22">
        <v>4</v>
      </c>
      <c r="M22">
        <v>118</v>
      </c>
      <c r="N22">
        <v>1</v>
      </c>
      <c r="O22">
        <v>3</v>
      </c>
      <c r="P22">
        <v>44</v>
      </c>
      <c r="Q22">
        <v>40</v>
      </c>
      <c r="R22">
        <v>10</v>
      </c>
      <c r="S22">
        <v>10</v>
      </c>
      <c r="T22">
        <v>357</v>
      </c>
      <c r="U22">
        <v>79</v>
      </c>
      <c r="V22">
        <v>537</v>
      </c>
      <c r="W22">
        <v>43</v>
      </c>
    </row>
    <row r="23" spans="1:23" x14ac:dyDescent="0.2">
      <c r="A23" t="s">
        <v>44</v>
      </c>
      <c r="B23" t="s">
        <v>157</v>
      </c>
      <c r="C23">
        <v>111.2369992733002</v>
      </c>
      <c r="D23">
        <v>2759</v>
      </c>
      <c r="E23">
        <v>2750</v>
      </c>
      <c r="F23">
        <v>12</v>
      </c>
      <c r="G23">
        <v>12</v>
      </c>
      <c r="H23">
        <v>5592.782608695652</v>
      </c>
      <c r="I23">
        <v>1.1111111111111109</v>
      </c>
      <c r="J23">
        <v>1.7391304347826091</v>
      </c>
      <c r="K23">
        <v>1.5652173913043479</v>
      </c>
      <c r="L23">
        <v>3.833333333333333</v>
      </c>
      <c r="M23">
        <v>39701</v>
      </c>
      <c r="N23">
        <v>2</v>
      </c>
      <c r="O23">
        <v>5</v>
      </c>
      <c r="P23">
        <v>72</v>
      </c>
      <c r="Q23">
        <v>46</v>
      </c>
      <c r="R23">
        <v>12</v>
      </c>
      <c r="S23">
        <v>24</v>
      </c>
      <c r="T23">
        <v>1024</v>
      </c>
      <c r="U23">
        <v>260</v>
      </c>
      <c r="V23">
        <v>257268</v>
      </c>
      <c r="W23">
        <v>80</v>
      </c>
    </row>
    <row r="24" spans="1:23" x14ac:dyDescent="0.2">
      <c r="A24" t="s">
        <v>45</v>
      </c>
      <c r="B24" t="s">
        <v>157</v>
      </c>
      <c r="C24">
        <v>11.12966418266296</v>
      </c>
      <c r="D24">
        <v>280</v>
      </c>
      <c r="E24">
        <v>429</v>
      </c>
      <c r="F24">
        <v>7</v>
      </c>
      <c r="G24">
        <v>7</v>
      </c>
      <c r="H24">
        <v>1.553191489361702</v>
      </c>
      <c r="I24">
        <v>1.128571428571429</v>
      </c>
      <c r="J24">
        <v>1.6808510638297871</v>
      </c>
      <c r="K24">
        <v>1.4893617021276599</v>
      </c>
      <c r="L24">
        <v>6.7142857142857144</v>
      </c>
      <c r="M24">
        <v>2</v>
      </c>
      <c r="N24">
        <v>2</v>
      </c>
      <c r="O24">
        <v>2</v>
      </c>
      <c r="P24">
        <v>70</v>
      </c>
      <c r="Q24">
        <v>47</v>
      </c>
      <c r="R24">
        <v>7</v>
      </c>
      <c r="S24">
        <v>14</v>
      </c>
      <c r="T24">
        <v>579</v>
      </c>
      <c r="U24">
        <v>85</v>
      </c>
      <c r="V24">
        <v>73</v>
      </c>
      <c r="W24">
        <v>79</v>
      </c>
    </row>
    <row r="25" spans="1:23" x14ac:dyDescent="0.2">
      <c r="A25" t="s">
        <v>46</v>
      </c>
      <c r="B25" t="s">
        <v>157</v>
      </c>
      <c r="C25">
        <v>338.67073392868042</v>
      </c>
      <c r="D25">
        <v>6876</v>
      </c>
      <c r="E25">
        <v>6603</v>
      </c>
      <c r="F25">
        <v>10</v>
      </c>
      <c r="G25">
        <v>62</v>
      </c>
      <c r="H25">
        <v>0.1759259259259259</v>
      </c>
      <c r="I25">
        <v>1.0718283582089549</v>
      </c>
      <c r="J25">
        <v>2.1277777777777782</v>
      </c>
      <c r="K25">
        <v>1.9851851851851849</v>
      </c>
      <c r="L25">
        <v>8.7096774193548381</v>
      </c>
      <c r="M25">
        <v>3</v>
      </c>
      <c r="N25">
        <v>2</v>
      </c>
      <c r="O25">
        <v>3</v>
      </c>
      <c r="P25">
        <v>1072</v>
      </c>
      <c r="Q25">
        <v>540</v>
      </c>
      <c r="R25">
        <v>62</v>
      </c>
      <c r="S25">
        <v>19</v>
      </c>
      <c r="T25">
        <v>9111</v>
      </c>
      <c r="U25">
        <v>992</v>
      </c>
      <c r="V25">
        <v>95</v>
      </c>
      <c r="W25">
        <v>1149</v>
      </c>
    </row>
    <row r="26" spans="1:23" x14ac:dyDescent="0.2">
      <c r="A26" t="s">
        <v>47</v>
      </c>
      <c r="B26" t="s">
        <v>157</v>
      </c>
      <c r="C26">
        <v>85.549098491668701</v>
      </c>
      <c r="D26">
        <v>738</v>
      </c>
      <c r="E26">
        <v>9177</v>
      </c>
      <c r="F26">
        <v>6</v>
      </c>
      <c r="G26">
        <v>6</v>
      </c>
      <c r="H26">
        <v>7.1428571428571425E-2</v>
      </c>
      <c r="I26">
        <v>1.166666666666667</v>
      </c>
      <c r="J26">
        <v>2.5</v>
      </c>
      <c r="K26">
        <v>2.1428571428571428</v>
      </c>
      <c r="L26">
        <v>4.666666666666667</v>
      </c>
      <c r="M26">
        <v>1</v>
      </c>
      <c r="N26">
        <v>5</v>
      </c>
      <c r="O26">
        <v>5</v>
      </c>
      <c r="P26">
        <v>60</v>
      </c>
      <c r="Q26">
        <v>28</v>
      </c>
      <c r="R26">
        <v>6</v>
      </c>
      <c r="S26">
        <v>10</v>
      </c>
      <c r="T26">
        <v>210</v>
      </c>
      <c r="U26">
        <v>40</v>
      </c>
      <c r="V26">
        <v>2</v>
      </c>
      <c r="W26">
        <v>70</v>
      </c>
    </row>
    <row r="27" spans="1:23" x14ac:dyDescent="0.2">
      <c r="A27" t="s">
        <v>48</v>
      </c>
      <c r="B27" t="s">
        <v>157</v>
      </c>
      <c r="C27">
        <v>4.3279409408569343E-2</v>
      </c>
      <c r="D27">
        <v>22</v>
      </c>
      <c r="E27">
        <v>3</v>
      </c>
      <c r="F27">
        <v>6</v>
      </c>
      <c r="G27">
        <v>5</v>
      </c>
      <c r="H27">
        <v>27088813230779.98</v>
      </c>
      <c r="I27">
        <v>1.428571428571429</v>
      </c>
      <c r="J27">
        <v>2.1818181818181821</v>
      </c>
      <c r="K27">
        <v>1.5272727272727269</v>
      </c>
      <c r="L27">
        <v>11</v>
      </c>
      <c r="M27">
        <v>168750000000000</v>
      </c>
      <c r="N27">
        <v>4</v>
      </c>
      <c r="O27">
        <v>2</v>
      </c>
      <c r="P27">
        <v>84</v>
      </c>
      <c r="Q27">
        <v>55</v>
      </c>
      <c r="R27">
        <v>5</v>
      </c>
      <c r="S27">
        <v>8</v>
      </c>
      <c r="T27">
        <v>320</v>
      </c>
      <c r="U27">
        <v>25</v>
      </c>
      <c r="V27">
        <v>1489884727692899</v>
      </c>
      <c r="W27">
        <v>120</v>
      </c>
    </row>
    <row r="28" spans="1:23" x14ac:dyDescent="0.2">
      <c r="A28" t="s">
        <v>49</v>
      </c>
      <c r="B28" t="s">
        <v>157</v>
      </c>
      <c r="C28">
        <v>3.183293342590332E-2</v>
      </c>
      <c r="D28">
        <v>9</v>
      </c>
      <c r="E28">
        <v>3</v>
      </c>
      <c r="F28">
        <v>11</v>
      </c>
      <c r="G28">
        <v>4</v>
      </c>
      <c r="H28">
        <v>0.108695652173913</v>
      </c>
      <c r="I28">
        <v>1.053763440860215</v>
      </c>
      <c r="J28">
        <v>2.1304347826086958</v>
      </c>
      <c r="K28">
        <v>2.0217391304347831</v>
      </c>
      <c r="L28">
        <v>11.5</v>
      </c>
      <c r="M28">
        <v>2</v>
      </c>
      <c r="N28">
        <v>2</v>
      </c>
      <c r="O28">
        <v>3</v>
      </c>
      <c r="P28">
        <v>93</v>
      </c>
      <c r="Q28">
        <v>46</v>
      </c>
      <c r="R28">
        <v>4</v>
      </c>
      <c r="S28">
        <v>13</v>
      </c>
      <c r="T28">
        <v>500</v>
      </c>
      <c r="U28">
        <v>44</v>
      </c>
      <c r="V28">
        <v>5</v>
      </c>
      <c r="W28">
        <v>98</v>
      </c>
    </row>
    <row r="29" spans="1:23" x14ac:dyDescent="0.2">
      <c r="A29" t="s">
        <v>50</v>
      </c>
      <c r="B29" t="s">
        <v>157</v>
      </c>
      <c r="C29">
        <v>0.1136252880096436</v>
      </c>
      <c r="D29">
        <v>75</v>
      </c>
      <c r="E29">
        <v>3</v>
      </c>
      <c r="F29">
        <v>8</v>
      </c>
      <c r="G29">
        <v>8</v>
      </c>
      <c r="H29">
        <v>8168845.583333333</v>
      </c>
      <c r="I29">
        <v>1.363636363636364</v>
      </c>
      <c r="J29">
        <v>2.5</v>
      </c>
      <c r="K29">
        <v>1.833333333333333</v>
      </c>
      <c r="L29">
        <v>6</v>
      </c>
      <c r="M29">
        <v>30000000</v>
      </c>
      <c r="N29">
        <v>3</v>
      </c>
      <c r="O29">
        <v>3</v>
      </c>
      <c r="P29">
        <v>88</v>
      </c>
      <c r="Q29">
        <v>48</v>
      </c>
      <c r="R29">
        <v>8</v>
      </c>
      <c r="S29">
        <v>16</v>
      </c>
      <c r="T29">
        <v>648</v>
      </c>
      <c r="U29">
        <v>108</v>
      </c>
      <c r="V29">
        <v>392104588</v>
      </c>
      <c r="W29">
        <v>120</v>
      </c>
    </row>
    <row r="30" spans="1:23" x14ac:dyDescent="0.2">
      <c r="A30" t="s">
        <v>51</v>
      </c>
      <c r="B30" t="s">
        <v>158</v>
      </c>
      <c r="C30" t="s">
        <v>159</v>
      </c>
      <c r="D30" t="s">
        <v>159</v>
      </c>
      <c r="E30" t="s">
        <v>159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  <c r="M30" t="s">
        <v>159</v>
      </c>
      <c r="N30" t="s">
        <v>159</v>
      </c>
      <c r="O30" t="s">
        <v>159</v>
      </c>
      <c r="P30" t="s">
        <v>159</v>
      </c>
      <c r="Q30" t="s">
        <v>159</v>
      </c>
      <c r="R30" t="s">
        <v>159</v>
      </c>
      <c r="S30" t="s">
        <v>159</v>
      </c>
      <c r="T30" t="s">
        <v>159</v>
      </c>
      <c r="U30" t="s">
        <v>159</v>
      </c>
      <c r="V30" t="s">
        <v>159</v>
      </c>
      <c r="W30" t="s">
        <v>159</v>
      </c>
    </row>
    <row r="31" spans="1:23" x14ac:dyDescent="0.2">
      <c r="A31" t="s">
        <v>52</v>
      </c>
      <c r="B31" t="s">
        <v>158</v>
      </c>
      <c r="C31" t="s">
        <v>159</v>
      </c>
      <c r="D31" t="s">
        <v>159</v>
      </c>
      <c r="E31" t="s">
        <v>159</v>
      </c>
      <c r="F31" t="s">
        <v>159</v>
      </c>
      <c r="G31" t="s">
        <v>159</v>
      </c>
      <c r="H31" t="s">
        <v>159</v>
      </c>
      <c r="I31" t="s">
        <v>159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</row>
    <row r="32" spans="1:23" x14ac:dyDescent="0.2">
      <c r="A32" t="s">
        <v>53</v>
      </c>
      <c r="B32" t="s">
        <v>157</v>
      </c>
      <c r="C32">
        <v>0.25487184524536127</v>
      </c>
      <c r="D32">
        <v>151</v>
      </c>
      <c r="E32">
        <v>18</v>
      </c>
      <c r="F32">
        <v>10</v>
      </c>
      <c r="G32">
        <v>10</v>
      </c>
      <c r="H32">
        <v>4.468131047267848E+16</v>
      </c>
      <c r="I32">
        <v>1.125</v>
      </c>
      <c r="J32">
        <v>1.2</v>
      </c>
      <c r="K32">
        <v>1.0666666666666671</v>
      </c>
      <c r="L32">
        <v>3</v>
      </c>
      <c r="M32">
        <v>4.999697842186E+17</v>
      </c>
      <c r="N32">
        <v>2</v>
      </c>
      <c r="O32">
        <v>2</v>
      </c>
      <c r="P32">
        <v>32</v>
      </c>
      <c r="Q32">
        <v>30</v>
      </c>
      <c r="R32">
        <v>10</v>
      </c>
      <c r="S32">
        <v>13</v>
      </c>
      <c r="T32">
        <v>354</v>
      </c>
      <c r="U32">
        <v>111</v>
      </c>
      <c r="V32">
        <v>1.340439314180354E+18</v>
      </c>
      <c r="W32">
        <v>36</v>
      </c>
    </row>
    <row r="33" spans="1:23" x14ac:dyDescent="0.2">
      <c r="A33" t="s">
        <v>54</v>
      </c>
      <c r="B33" t="s">
        <v>157</v>
      </c>
      <c r="C33">
        <v>1.9314866065978999</v>
      </c>
      <c r="D33">
        <v>95</v>
      </c>
      <c r="E33">
        <v>78</v>
      </c>
      <c r="F33">
        <v>5</v>
      </c>
      <c r="G33">
        <v>5</v>
      </c>
      <c r="H33">
        <v>6.7853100176612997E+18</v>
      </c>
      <c r="I33">
        <v>1.219512195121951</v>
      </c>
      <c r="J33">
        <v>1.666666666666667</v>
      </c>
      <c r="K33">
        <v>1.3666666666666669</v>
      </c>
      <c r="L33">
        <v>6</v>
      </c>
      <c r="M33">
        <v>2.0337025628949099E+20</v>
      </c>
      <c r="N33">
        <v>2</v>
      </c>
      <c r="O33">
        <v>2</v>
      </c>
      <c r="P33">
        <v>41</v>
      </c>
      <c r="Q33">
        <v>30</v>
      </c>
      <c r="R33">
        <v>5</v>
      </c>
      <c r="S33">
        <v>8</v>
      </c>
      <c r="T33">
        <v>190</v>
      </c>
      <c r="U33">
        <v>27</v>
      </c>
      <c r="V33">
        <v>2.0355930052983901E+20</v>
      </c>
      <c r="W33">
        <v>50</v>
      </c>
    </row>
    <row r="34" spans="1:23" x14ac:dyDescent="0.2">
      <c r="A34" t="s">
        <v>55</v>
      </c>
      <c r="B34" t="s">
        <v>157</v>
      </c>
      <c r="C34">
        <v>0.1052744388580322</v>
      </c>
      <c r="D34">
        <v>84</v>
      </c>
      <c r="E34">
        <v>6</v>
      </c>
      <c r="F34">
        <v>8</v>
      </c>
      <c r="G34">
        <v>8</v>
      </c>
      <c r="H34">
        <v>135702.70967741939</v>
      </c>
      <c r="I34">
        <v>1.2758620689655169</v>
      </c>
      <c r="J34">
        <v>1.193548387096774</v>
      </c>
      <c r="K34">
        <v>0.93548387096774188</v>
      </c>
      <c r="L34">
        <v>3.875</v>
      </c>
      <c r="M34">
        <v>1000000</v>
      </c>
      <c r="N34">
        <v>2</v>
      </c>
      <c r="O34">
        <v>2</v>
      </c>
      <c r="P34">
        <v>29</v>
      </c>
      <c r="Q34">
        <v>31</v>
      </c>
      <c r="R34">
        <v>8</v>
      </c>
      <c r="S34">
        <v>16</v>
      </c>
      <c r="T34">
        <v>459</v>
      </c>
      <c r="U34">
        <v>113</v>
      </c>
      <c r="V34">
        <v>4206784</v>
      </c>
      <c r="W34">
        <v>37</v>
      </c>
    </row>
    <row r="35" spans="1:23" x14ac:dyDescent="0.2">
      <c r="A35" t="s">
        <v>56</v>
      </c>
      <c r="B35" t="s">
        <v>157</v>
      </c>
      <c r="C35">
        <v>429.95021200180048</v>
      </c>
      <c r="D35">
        <v>3519</v>
      </c>
      <c r="E35">
        <v>3576</v>
      </c>
      <c r="F35">
        <v>10</v>
      </c>
      <c r="G35">
        <v>10</v>
      </c>
      <c r="H35">
        <v>34969370.466666669</v>
      </c>
      <c r="I35">
        <v>0.9555555555555556</v>
      </c>
      <c r="J35">
        <v>1.4333333333333329</v>
      </c>
      <c r="K35">
        <v>1.5</v>
      </c>
      <c r="L35">
        <v>3</v>
      </c>
      <c r="M35">
        <v>100000000</v>
      </c>
      <c r="N35">
        <v>1</v>
      </c>
      <c r="O35">
        <v>4</v>
      </c>
      <c r="P35">
        <v>45</v>
      </c>
      <c r="Q35">
        <v>30</v>
      </c>
      <c r="R35">
        <v>10</v>
      </c>
      <c r="S35">
        <v>10</v>
      </c>
      <c r="T35">
        <v>257</v>
      </c>
      <c r="U35">
        <v>68</v>
      </c>
      <c r="V35">
        <v>1049081114</v>
      </c>
      <c r="W35">
        <v>43</v>
      </c>
    </row>
    <row r="36" spans="1:23" x14ac:dyDescent="0.2">
      <c r="A36" t="s">
        <v>57</v>
      </c>
      <c r="B36" t="s">
        <v>157</v>
      </c>
      <c r="C36">
        <v>1.546737432479858</v>
      </c>
      <c r="D36">
        <v>62</v>
      </c>
      <c r="E36">
        <v>265</v>
      </c>
      <c r="F36">
        <v>5</v>
      </c>
      <c r="G36">
        <v>4</v>
      </c>
      <c r="H36">
        <v>1.588235294117647</v>
      </c>
      <c r="I36">
        <v>1.48</v>
      </c>
      <c r="J36">
        <v>2.1764705882352939</v>
      </c>
      <c r="K36">
        <v>1.470588235294118</v>
      </c>
      <c r="L36">
        <v>4.25</v>
      </c>
      <c r="M36">
        <v>6</v>
      </c>
      <c r="N36">
        <v>3</v>
      </c>
      <c r="O36">
        <v>3</v>
      </c>
      <c r="P36">
        <v>25</v>
      </c>
      <c r="Q36">
        <v>17</v>
      </c>
      <c r="R36">
        <v>4</v>
      </c>
      <c r="S36">
        <v>11</v>
      </c>
      <c r="T36">
        <v>150</v>
      </c>
      <c r="U36">
        <v>31</v>
      </c>
      <c r="V36">
        <v>27</v>
      </c>
      <c r="W36">
        <v>37</v>
      </c>
    </row>
    <row r="37" spans="1:23" x14ac:dyDescent="0.2">
      <c r="A37" t="s">
        <v>58</v>
      </c>
      <c r="B37" t="s">
        <v>157</v>
      </c>
      <c r="C37">
        <v>2.4365663528442379E-2</v>
      </c>
      <c r="D37">
        <v>1</v>
      </c>
      <c r="E37">
        <v>4</v>
      </c>
      <c r="F37">
        <v>3</v>
      </c>
      <c r="G37">
        <v>4</v>
      </c>
      <c r="H37">
        <v>0.16666666666666671</v>
      </c>
      <c r="I37">
        <v>2.625</v>
      </c>
      <c r="J37">
        <v>3.5</v>
      </c>
      <c r="K37">
        <v>1.333333333333333</v>
      </c>
      <c r="L37">
        <v>1.5</v>
      </c>
      <c r="M37">
        <v>1</v>
      </c>
      <c r="N37">
        <v>6</v>
      </c>
      <c r="O37">
        <v>2</v>
      </c>
      <c r="P37">
        <v>8</v>
      </c>
      <c r="Q37">
        <v>6</v>
      </c>
      <c r="R37">
        <v>4</v>
      </c>
      <c r="S37">
        <v>13</v>
      </c>
      <c r="T37">
        <v>57</v>
      </c>
      <c r="U37">
        <v>34</v>
      </c>
      <c r="V37">
        <v>1</v>
      </c>
      <c r="W37">
        <v>21</v>
      </c>
    </row>
    <row r="38" spans="1:23" x14ac:dyDescent="0.2">
      <c r="A38" t="s">
        <v>59</v>
      </c>
      <c r="B38" t="s">
        <v>157</v>
      </c>
      <c r="C38">
        <v>0.207921028137207</v>
      </c>
      <c r="D38">
        <v>59</v>
      </c>
      <c r="E38">
        <v>50</v>
      </c>
      <c r="F38">
        <v>5</v>
      </c>
      <c r="G38">
        <v>5</v>
      </c>
      <c r="H38">
        <v>43736658.766666673</v>
      </c>
      <c r="I38">
        <v>1.097560975609756</v>
      </c>
      <c r="J38">
        <v>1.5</v>
      </c>
      <c r="K38">
        <v>1.3666666666666669</v>
      </c>
      <c r="L38">
        <v>6</v>
      </c>
      <c r="M38">
        <v>420000000</v>
      </c>
      <c r="N38">
        <v>2</v>
      </c>
      <c r="O38">
        <v>2</v>
      </c>
      <c r="P38">
        <v>41</v>
      </c>
      <c r="Q38">
        <v>30</v>
      </c>
      <c r="R38">
        <v>5</v>
      </c>
      <c r="S38">
        <v>9</v>
      </c>
      <c r="T38">
        <v>225</v>
      </c>
      <c r="U38">
        <v>35</v>
      </c>
      <c r="V38">
        <v>1312099763</v>
      </c>
      <c r="W38">
        <v>45</v>
      </c>
    </row>
    <row r="39" spans="1:23" x14ac:dyDescent="0.2">
      <c r="A39" t="s">
        <v>60</v>
      </c>
      <c r="B39" t="s">
        <v>158</v>
      </c>
      <c r="C39" t="s">
        <v>159</v>
      </c>
      <c r="D39" t="s">
        <v>159</v>
      </c>
      <c r="E39" t="s">
        <v>159</v>
      </c>
      <c r="F39" t="s">
        <v>159</v>
      </c>
      <c r="G39" t="s">
        <v>159</v>
      </c>
      <c r="H39" t="s">
        <v>159</v>
      </c>
      <c r="I39" t="s">
        <v>159</v>
      </c>
      <c r="J39" t="s">
        <v>159</v>
      </c>
      <c r="K39" t="s">
        <v>159</v>
      </c>
      <c r="L39" t="s">
        <v>159</v>
      </c>
      <c r="M39" t="s">
        <v>159</v>
      </c>
      <c r="N39" t="s">
        <v>159</v>
      </c>
      <c r="O39" t="s">
        <v>159</v>
      </c>
      <c r="P39" t="s">
        <v>159</v>
      </c>
      <c r="Q39" t="s">
        <v>159</v>
      </c>
      <c r="R39" t="s">
        <v>159</v>
      </c>
      <c r="S39" t="s">
        <v>159</v>
      </c>
      <c r="T39" t="s">
        <v>159</v>
      </c>
      <c r="U39" t="s">
        <v>159</v>
      </c>
      <c r="V39" t="s">
        <v>159</v>
      </c>
      <c r="W39" t="s">
        <v>159</v>
      </c>
    </row>
    <row r="40" spans="1:23" x14ac:dyDescent="0.2">
      <c r="A40" t="s">
        <v>61</v>
      </c>
      <c r="B40" t="s">
        <v>157</v>
      </c>
      <c r="C40">
        <v>2103.4495780467992</v>
      </c>
      <c r="D40">
        <v>25307</v>
      </c>
      <c r="E40">
        <v>104748</v>
      </c>
      <c r="F40">
        <v>11</v>
      </c>
      <c r="G40">
        <v>11</v>
      </c>
      <c r="H40">
        <v>0.72368421052631582</v>
      </c>
      <c r="I40">
        <v>0.99236641221374045</v>
      </c>
      <c r="J40">
        <v>1.7105263157894739</v>
      </c>
      <c r="K40">
        <v>1.7236842105263159</v>
      </c>
      <c r="L40">
        <v>6.9090909090909092</v>
      </c>
      <c r="M40">
        <v>10</v>
      </c>
      <c r="N40">
        <v>1</v>
      </c>
      <c r="O40">
        <v>3</v>
      </c>
      <c r="P40">
        <v>131</v>
      </c>
      <c r="Q40">
        <v>76</v>
      </c>
      <c r="R40">
        <v>11</v>
      </c>
      <c r="S40">
        <v>11</v>
      </c>
      <c r="T40">
        <v>706</v>
      </c>
      <c r="U40">
        <v>91</v>
      </c>
      <c r="V40">
        <v>55</v>
      </c>
      <c r="W40">
        <v>130</v>
      </c>
    </row>
    <row r="41" spans="1:23" x14ac:dyDescent="0.2">
      <c r="A41" t="s">
        <v>62</v>
      </c>
      <c r="B41" t="s">
        <v>158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 t="s">
        <v>159</v>
      </c>
      <c r="L41" t="s">
        <v>159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  <c r="V41" t="s">
        <v>159</v>
      </c>
      <c r="W41" t="s">
        <v>159</v>
      </c>
    </row>
    <row r="42" spans="1:23" x14ac:dyDescent="0.2">
      <c r="A42" t="s">
        <v>63</v>
      </c>
      <c r="B42" t="s">
        <v>157</v>
      </c>
      <c r="C42">
        <v>294.06167674064642</v>
      </c>
      <c r="D42">
        <v>747</v>
      </c>
      <c r="E42">
        <v>2960</v>
      </c>
      <c r="F42">
        <v>7</v>
      </c>
      <c r="G42">
        <v>6</v>
      </c>
      <c r="H42">
        <v>0.81481481481481477</v>
      </c>
      <c r="I42">
        <v>1.305555555555556</v>
      </c>
      <c r="J42">
        <v>1.7407407407407409</v>
      </c>
      <c r="K42">
        <v>1.333333333333333</v>
      </c>
      <c r="L42">
        <v>4.5</v>
      </c>
      <c r="M42">
        <v>2</v>
      </c>
      <c r="N42">
        <v>3</v>
      </c>
      <c r="O42">
        <v>2</v>
      </c>
      <c r="P42">
        <v>36</v>
      </c>
      <c r="Q42">
        <v>27</v>
      </c>
      <c r="R42">
        <v>6</v>
      </c>
      <c r="S42">
        <v>15</v>
      </c>
      <c r="T42">
        <v>358</v>
      </c>
      <c r="U42">
        <v>69</v>
      </c>
      <c r="V42">
        <v>22</v>
      </c>
      <c r="W42">
        <v>47</v>
      </c>
    </row>
    <row r="43" spans="1:23" x14ac:dyDescent="0.2">
      <c r="A43" t="s">
        <v>64</v>
      </c>
      <c r="B43" t="s">
        <v>157</v>
      </c>
      <c r="C43">
        <v>3.6096572875976562E-4</v>
      </c>
      <c r="D43">
        <v>1</v>
      </c>
      <c r="E43">
        <v>0</v>
      </c>
      <c r="F43">
        <v>2</v>
      </c>
      <c r="G43">
        <v>2</v>
      </c>
      <c r="H43">
        <v>2</v>
      </c>
      <c r="I43">
        <v>1.75</v>
      </c>
      <c r="J43">
        <v>1.4</v>
      </c>
      <c r="K43">
        <v>0.8</v>
      </c>
      <c r="L43">
        <v>2.5</v>
      </c>
      <c r="M43">
        <v>4</v>
      </c>
      <c r="N43">
        <v>2</v>
      </c>
      <c r="O43">
        <v>1</v>
      </c>
      <c r="P43">
        <v>4</v>
      </c>
      <c r="Q43">
        <v>5</v>
      </c>
      <c r="R43">
        <v>2</v>
      </c>
      <c r="S43">
        <v>4</v>
      </c>
      <c r="T43">
        <v>13</v>
      </c>
      <c r="U43">
        <v>4</v>
      </c>
      <c r="V43">
        <v>10</v>
      </c>
      <c r="W43">
        <v>7</v>
      </c>
    </row>
    <row r="44" spans="1:23" x14ac:dyDescent="0.2">
      <c r="A44" t="s">
        <v>65</v>
      </c>
      <c r="B44" t="s">
        <v>157</v>
      </c>
      <c r="C44">
        <v>1.012799978256226</v>
      </c>
      <c r="D44">
        <v>94</v>
      </c>
      <c r="E44">
        <v>56</v>
      </c>
      <c r="F44">
        <v>6</v>
      </c>
      <c r="G44">
        <v>6</v>
      </c>
      <c r="H44">
        <v>2.3875000000000002</v>
      </c>
      <c r="I44">
        <v>1.1953125</v>
      </c>
      <c r="J44">
        <v>1.9125000000000001</v>
      </c>
      <c r="K44">
        <v>1.6</v>
      </c>
      <c r="L44">
        <v>13.33333333333333</v>
      </c>
      <c r="M44">
        <v>12</v>
      </c>
      <c r="N44">
        <v>2</v>
      </c>
      <c r="O44">
        <v>2</v>
      </c>
      <c r="P44">
        <v>128</v>
      </c>
      <c r="Q44">
        <v>80</v>
      </c>
      <c r="R44">
        <v>6</v>
      </c>
      <c r="S44">
        <v>7</v>
      </c>
      <c r="T44">
        <v>407</v>
      </c>
      <c r="U44">
        <v>26</v>
      </c>
      <c r="V44">
        <v>191</v>
      </c>
      <c r="W44">
        <v>153</v>
      </c>
    </row>
    <row r="45" spans="1:23" x14ac:dyDescent="0.2">
      <c r="A45" t="s">
        <v>66</v>
      </c>
      <c r="B45" t="s">
        <v>157</v>
      </c>
      <c r="C45">
        <v>0.20580077171325681</v>
      </c>
      <c r="D45">
        <v>151</v>
      </c>
      <c r="E45">
        <v>19</v>
      </c>
      <c r="F45">
        <v>10</v>
      </c>
      <c r="G45">
        <v>10</v>
      </c>
      <c r="H45">
        <v>1.687500068333339E+20</v>
      </c>
      <c r="I45">
        <v>1.125</v>
      </c>
      <c r="J45">
        <v>1.2</v>
      </c>
      <c r="K45">
        <v>1.0666666666666671</v>
      </c>
      <c r="L45">
        <v>3</v>
      </c>
      <c r="M45">
        <v>5E+21</v>
      </c>
      <c r="N45">
        <v>2</v>
      </c>
      <c r="O45">
        <v>2</v>
      </c>
      <c r="P45">
        <v>32</v>
      </c>
      <c r="Q45">
        <v>30</v>
      </c>
      <c r="R45">
        <v>10</v>
      </c>
      <c r="S45">
        <v>13</v>
      </c>
      <c r="T45">
        <v>354</v>
      </c>
      <c r="U45">
        <v>111</v>
      </c>
      <c r="V45">
        <v>5.0625002050000173E+21</v>
      </c>
      <c r="W45">
        <v>36</v>
      </c>
    </row>
    <row r="46" spans="1:23" x14ac:dyDescent="0.2">
      <c r="A46" t="s">
        <v>67</v>
      </c>
      <c r="B46" t="s">
        <v>157</v>
      </c>
      <c r="C46">
        <v>2.0160150527954102</v>
      </c>
      <c r="D46">
        <v>318</v>
      </c>
      <c r="E46">
        <v>626</v>
      </c>
      <c r="F46">
        <v>10</v>
      </c>
      <c r="G46">
        <v>9</v>
      </c>
      <c r="H46">
        <v>2.8243243243243241</v>
      </c>
      <c r="I46">
        <v>1</v>
      </c>
      <c r="J46">
        <v>1.486486486486486</v>
      </c>
      <c r="K46">
        <v>1.486486486486486</v>
      </c>
      <c r="L46">
        <v>8.2222222222222214</v>
      </c>
      <c r="M46">
        <v>4</v>
      </c>
      <c r="N46">
        <v>1</v>
      </c>
      <c r="O46">
        <v>2</v>
      </c>
      <c r="P46">
        <v>110</v>
      </c>
      <c r="Q46">
        <v>74</v>
      </c>
      <c r="R46">
        <v>9</v>
      </c>
      <c r="S46">
        <v>10</v>
      </c>
      <c r="T46">
        <v>630</v>
      </c>
      <c r="U46">
        <v>74</v>
      </c>
      <c r="V46">
        <v>209</v>
      </c>
      <c r="W46">
        <v>110</v>
      </c>
    </row>
    <row r="47" spans="1:23" x14ac:dyDescent="0.2">
      <c r="A47" t="s">
        <v>68</v>
      </c>
      <c r="B47" t="s">
        <v>157</v>
      </c>
      <c r="C47">
        <v>0.91871786117553711</v>
      </c>
      <c r="D47">
        <v>81</v>
      </c>
      <c r="E47">
        <v>54</v>
      </c>
      <c r="F47">
        <v>5</v>
      </c>
      <c r="G47">
        <v>5</v>
      </c>
      <c r="H47">
        <v>3276588549.2666669</v>
      </c>
      <c r="I47">
        <v>1.219512195121951</v>
      </c>
      <c r="J47">
        <v>1.666666666666667</v>
      </c>
      <c r="K47">
        <v>1.3666666666666669</v>
      </c>
      <c r="L47">
        <v>6</v>
      </c>
      <c r="M47">
        <v>40000000000</v>
      </c>
      <c r="N47">
        <v>2</v>
      </c>
      <c r="O47">
        <v>2</v>
      </c>
      <c r="P47">
        <v>41</v>
      </c>
      <c r="Q47">
        <v>30</v>
      </c>
      <c r="R47">
        <v>5</v>
      </c>
      <c r="S47">
        <v>8</v>
      </c>
      <c r="T47">
        <v>190</v>
      </c>
      <c r="U47">
        <v>27</v>
      </c>
      <c r="V47">
        <v>98297656478</v>
      </c>
      <c r="W47">
        <v>50</v>
      </c>
    </row>
    <row r="48" spans="1:23" x14ac:dyDescent="0.2">
      <c r="A48" t="s">
        <v>69</v>
      </c>
      <c r="B48" t="s">
        <v>157</v>
      </c>
      <c r="C48">
        <v>8.0014758110046387</v>
      </c>
      <c r="D48">
        <v>501</v>
      </c>
      <c r="E48">
        <v>371</v>
      </c>
      <c r="F48">
        <v>10</v>
      </c>
      <c r="G48">
        <v>10</v>
      </c>
      <c r="H48">
        <v>67.75</v>
      </c>
      <c r="I48">
        <v>1</v>
      </c>
      <c r="J48">
        <v>1.55</v>
      </c>
      <c r="K48">
        <v>1.55</v>
      </c>
      <c r="L48">
        <v>4</v>
      </c>
      <c r="M48">
        <v>595</v>
      </c>
      <c r="N48">
        <v>1</v>
      </c>
      <c r="O48">
        <v>2</v>
      </c>
      <c r="P48">
        <v>62</v>
      </c>
      <c r="Q48">
        <v>40</v>
      </c>
      <c r="R48">
        <v>10</v>
      </c>
      <c r="S48">
        <v>10</v>
      </c>
      <c r="T48">
        <v>338</v>
      </c>
      <c r="U48">
        <v>82</v>
      </c>
      <c r="V48">
        <v>2710</v>
      </c>
      <c r="W48">
        <v>62</v>
      </c>
    </row>
    <row r="49" spans="1:23" x14ac:dyDescent="0.2">
      <c r="A49" t="s">
        <v>70</v>
      </c>
      <c r="B49" t="s">
        <v>157</v>
      </c>
      <c r="C49">
        <v>405.7902398109436</v>
      </c>
      <c r="D49">
        <v>3519</v>
      </c>
      <c r="E49">
        <v>3561</v>
      </c>
      <c r="F49">
        <v>12</v>
      </c>
      <c r="G49">
        <v>10</v>
      </c>
      <c r="H49">
        <v>34969370.466666669</v>
      </c>
      <c r="I49">
        <v>0.9555555555555556</v>
      </c>
      <c r="J49">
        <v>1.4333333333333329</v>
      </c>
      <c r="K49">
        <v>1.5</v>
      </c>
      <c r="L49">
        <v>3</v>
      </c>
      <c r="M49">
        <v>100000000</v>
      </c>
      <c r="N49">
        <v>1</v>
      </c>
      <c r="O49">
        <v>4</v>
      </c>
      <c r="P49">
        <v>45</v>
      </c>
      <c r="Q49">
        <v>30</v>
      </c>
      <c r="R49">
        <v>10</v>
      </c>
      <c r="S49">
        <v>10</v>
      </c>
      <c r="T49">
        <v>257</v>
      </c>
      <c r="U49">
        <v>68</v>
      </c>
      <c r="V49">
        <v>1049081114</v>
      </c>
      <c r="W49">
        <v>43</v>
      </c>
    </row>
    <row r="50" spans="1:23" x14ac:dyDescent="0.2">
      <c r="A50" t="s">
        <v>71</v>
      </c>
      <c r="B50" t="s">
        <v>158</v>
      </c>
      <c r="C50" t="s">
        <v>159</v>
      </c>
      <c r="D50" t="s">
        <v>159</v>
      </c>
      <c r="E50" t="s">
        <v>159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  <c r="T50" t="s">
        <v>159</v>
      </c>
      <c r="U50" t="s">
        <v>159</v>
      </c>
      <c r="V50" t="s">
        <v>159</v>
      </c>
      <c r="W50" t="s">
        <v>159</v>
      </c>
    </row>
    <row r="51" spans="1:23" x14ac:dyDescent="0.2">
      <c r="A51" t="s">
        <v>72</v>
      </c>
      <c r="B51" t="s">
        <v>158</v>
      </c>
      <c r="C51" t="s">
        <v>159</v>
      </c>
      <c r="D51" t="s">
        <v>159</v>
      </c>
      <c r="E51" t="s">
        <v>159</v>
      </c>
      <c r="F51" t="s">
        <v>159</v>
      </c>
      <c r="G51" t="s">
        <v>159</v>
      </c>
      <c r="H51" t="s">
        <v>159</v>
      </c>
      <c r="I51" t="s">
        <v>159</v>
      </c>
      <c r="J51" t="s">
        <v>159</v>
      </c>
      <c r="K51" t="s">
        <v>159</v>
      </c>
      <c r="L51" t="s">
        <v>159</v>
      </c>
      <c r="M51" t="s">
        <v>159</v>
      </c>
      <c r="N51" t="s">
        <v>159</v>
      </c>
      <c r="O51" t="s">
        <v>159</v>
      </c>
      <c r="P51" t="s">
        <v>159</v>
      </c>
      <c r="Q51" t="s">
        <v>159</v>
      </c>
      <c r="R51" t="s">
        <v>159</v>
      </c>
      <c r="S51" t="s">
        <v>159</v>
      </c>
      <c r="T51" t="s">
        <v>159</v>
      </c>
      <c r="U51" t="s">
        <v>159</v>
      </c>
      <c r="V51" t="s">
        <v>159</v>
      </c>
      <c r="W51" t="s">
        <v>159</v>
      </c>
    </row>
    <row r="52" spans="1:23" x14ac:dyDescent="0.2">
      <c r="A52" t="s">
        <v>73</v>
      </c>
      <c r="B52" t="s">
        <v>157</v>
      </c>
      <c r="C52">
        <v>6392.1883924007416</v>
      </c>
      <c r="D52">
        <v>6492</v>
      </c>
      <c r="E52">
        <v>121443</v>
      </c>
      <c r="F52">
        <v>7</v>
      </c>
      <c r="G52">
        <v>7</v>
      </c>
      <c r="H52">
        <v>10.125</v>
      </c>
      <c r="I52">
        <v>1.461538461538461</v>
      </c>
      <c r="J52">
        <v>2.375</v>
      </c>
      <c r="K52">
        <v>1.625</v>
      </c>
      <c r="L52">
        <v>8</v>
      </c>
      <c r="M52">
        <v>11</v>
      </c>
      <c r="N52">
        <v>2</v>
      </c>
      <c r="O52">
        <v>2</v>
      </c>
      <c r="P52">
        <v>91</v>
      </c>
      <c r="Q52">
        <v>56</v>
      </c>
      <c r="R52">
        <v>7</v>
      </c>
      <c r="S52">
        <v>14</v>
      </c>
      <c r="T52">
        <v>651</v>
      </c>
      <c r="U52">
        <v>77</v>
      </c>
      <c r="V52">
        <v>567</v>
      </c>
      <c r="W52">
        <v>133</v>
      </c>
    </row>
    <row r="53" spans="1:23" x14ac:dyDescent="0.2">
      <c r="A53" t="s">
        <v>74</v>
      </c>
      <c r="B53" t="s">
        <v>158</v>
      </c>
      <c r="C53" t="s">
        <v>159</v>
      </c>
      <c r="D53" t="s">
        <v>159</v>
      </c>
      <c r="E53" t="s">
        <v>159</v>
      </c>
      <c r="F53" t="s">
        <v>159</v>
      </c>
      <c r="G53" t="s">
        <v>159</v>
      </c>
      <c r="H53" t="s">
        <v>159</v>
      </c>
      <c r="I53" t="s">
        <v>159</v>
      </c>
      <c r="J53" t="s">
        <v>159</v>
      </c>
      <c r="K53" t="s">
        <v>159</v>
      </c>
      <c r="L53" t="s">
        <v>159</v>
      </c>
      <c r="M53" t="s">
        <v>159</v>
      </c>
      <c r="N53" t="s">
        <v>159</v>
      </c>
      <c r="O53" t="s">
        <v>159</v>
      </c>
      <c r="P53" t="s">
        <v>159</v>
      </c>
      <c r="Q53" t="s">
        <v>159</v>
      </c>
      <c r="R53" t="s">
        <v>159</v>
      </c>
      <c r="S53" t="s">
        <v>159</v>
      </c>
      <c r="T53" t="s">
        <v>159</v>
      </c>
      <c r="U53" t="s">
        <v>159</v>
      </c>
      <c r="V53" t="s">
        <v>159</v>
      </c>
      <c r="W53" t="s">
        <v>159</v>
      </c>
    </row>
    <row r="54" spans="1:23" x14ac:dyDescent="0.2">
      <c r="A54" t="s">
        <v>75</v>
      </c>
      <c r="B54" t="s">
        <v>158</v>
      </c>
      <c r="C54" t="s">
        <v>159</v>
      </c>
      <c r="D54" t="s">
        <v>159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  <c r="L54" t="s">
        <v>159</v>
      </c>
      <c r="M54" t="s">
        <v>159</v>
      </c>
      <c r="N54" t="s">
        <v>159</v>
      </c>
      <c r="O54" t="s">
        <v>159</v>
      </c>
      <c r="P54" t="s">
        <v>159</v>
      </c>
      <c r="Q54" t="s">
        <v>159</v>
      </c>
      <c r="R54" t="s">
        <v>159</v>
      </c>
      <c r="S54" t="s">
        <v>159</v>
      </c>
      <c r="T54" t="s">
        <v>159</v>
      </c>
      <c r="U54" t="s">
        <v>159</v>
      </c>
      <c r="V54" t="s">
        <v>159</v>
      </c>
      <c r="W54" t="s">
        <v>159</v>
      </c>
    </row>
    <row r="55" spans="1:23" x14ac:dyDescent="0.2">
      <c r="A55" t="s">
        <v>76</v>
      </c>
      <c r="B55" t="s">
        <v>158</v>
      </c>
      <c r="C55" t="s">
        <v>159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  <c r="J55" t="s">
        <v>159</v>
      </c>
      <c r="K55" t="s">
        <v>159</v>
      </c>
      <c r="L55" t="s">
        <v>159</v>
      </c>
      <c r="M55" t="s">
        <v>159</v>
      </c>
      <c r="N55" t="s">
        <v>159</v>
      </c>
      <c r="O55" t="s">
        <v>159</v>
      </c>
      <c r="P55" t="s">
        <v>159</v>
      </c>
      <c r="Q55" t="s">
        <v>159</v>
      </c>
      <c r="R55" t="s">
        <v>159</v>
      </c>
      <c r="S55" t="s">
        <v>159</v>
      </c>
      <c r="T55" t="s">
        <v>159</v>
      </c>
      <c r="U55" t="s">
        <v>159</v>
      </c>
      <c r="V55" t="s">
        <v>159</v>
      </c>
      <c r="W55" t="s">
        <v>159</v>
      </c>
    </row>
    <row r="56" spans="1:23" x14ac:dyDescent="0.2">
      <c r="A56" t="s">
        <v>77</v>
      </c>
      <c r="B56" t="s">
        <v>157</v>
      </c>
      <c r="C56">
        <v>0.1530959606170654</v>
      </c>
      <c r="D56">
        <v>302</v>
      </c>
      <c r="E56">
        <v>23</v>
      </c>
      <c r="F56">
        <v>16</v>
      </c>
      <c r="G56">
        <v>14</v>
      </c>
      <c r="H56">
        <v>4.5454545454545463E-2</v>
      </c>
      <c r="I56">
        <v>0.89090909090909087</v>
      </c>
      <c r="J56">
        <v>2.9696969696969702</v>
      </c>
      <c r="K56">
        <v>3.333333333333333</v>
      </c>
      <c r="L56">
        <v>4.7142857142857144</v>
      </c>
      <c r="M56">
        <v>1</v>
      </c>
      <c r="N56">
        <v>1</v>
      </c>
      <c r="O56">
        <v>5</v>
      </c>
      <c r="P56">
        <v>220</v>
      </c>
      <c r="Q56">
        <v>66</v>
      </c>
      <c r="R56">
        <v>14</v>
      </c>
      <c r="S56">
        <v>16</v>
      </c>
      <c r="T56">
        <v>860</v>
      </c>
      <c r="U56">
        <v>176</v>
      </c>
      <c r="V56">
        <v>3</v>
      </c>
      <c r="W56">
        <v>196</v>
      </c>
    </row>
    <row r="57" spans="1:23" x14ac:dyDescent="0.2">
      <c r="A57" t="s">
        <v>78</v>
      </c>
      <c r="B57" t="s">
        <v>157</v>
      </c>
      <c r="C57">
        <v>5.0505294799804688</v>
      </c>
      <c r="D57">
        <v>286</v>
      </c>
      <c r="E57">
        <v>258</v>
      </c>
      <c r="F57">
        <v>7</v>
      </c>
      <c r="G57">
        <v>7</v>
      </c>
      <c r="H57">
        <v>0.6470588235294118</v>
      </c>
      <c r="I57">
        <v>1</v>
      </c>
      <c r="J57">
        <v>1.8529411764705881</v>
      </c>
      <c r="K57">
        <v>1.8529411764705881</v>
      </c>
      <c r="L57">
        <v>4.8571428571428568</v>
      </c>
      <c r="M57">
        <v>6</v>
      </c>
      <c r="N57">
        <v>1</v>
      </c>
      <c r="O57">
        <v>3</v>
      </c>
      <c r="P57">
        <v>63</v>
      </c>
      <c r="Q57">
        <v>34</v>
      </c>
      <c r="R57">
        <v>7</v>
      </c>
      <c r="S57">
        <v>7</v>
      </c>
      <c r="T57">
        <v>175</v>
      </c>
      <c r="U57">
        <v>31</v>
      </c>
      <c r="V57">
        <v>22</v>
      </c>
      <c r="W57">
        <v>63</v>
      </c>
    </row>
    <row r="58" spans="1:23" x14ac:dyDescent="0.2">
      <c r="A58" t="s">
        <v>79</v>
      </c>
      <c r="B58" t="s">
        <v>157</v>
      </c>
      <c r="C58">
        <v>0.96565580368041992</v>
      </c>
      <c r="D58">
        <v>188</v>
      </c>
      <c r="E58">
        <v>270</v>
      </c>
      <c r="F58">
        <v>6</v>
      </c>
      <c r="G58">
        <v>6</v>
      </c>
      <c r="H58">
        <v>327476315.04761899</v>
      </c>
      <c r="I58">
        <v>1.081967213114754</v>
      </c>
      <c r="J58">
        <v>1.571428571428571</v>
      </c>
      <c r="K58">
        <v>1.4523809523809521</v>
      </c>
      <c r="L58">
        <v>7</v>
      </c>
      <c r="M58">
        <v>5544000000</v>
      </c>
      <c r="N58">
        <v>2</v>
      </c>
      <c r="O58">
        <v>2</v>
      </c>
      <c r="P58">
        <v>61</v>
      </c>
      <c r="Q58">
        <v>42</v>
      </c>
      <c r="R58">
        <v>6</v>
      </c>
      <c r="S58">
        <v>11</v>
      </c>
      <c r="T58">
        <v>396</v>
      </c>
      <c r="U58">
        <v>54</v>
      </c>
      <c r="V58">
        <v>13754005232</v>
      </c>
      <c r="W58">
        <v>66</v>
      </c>
    </row>
    <row r="59" spans="1:23" x14ac:dyDescent="0.2">
      <c r="A59" t="s">
        <v>80</v>
      </c>
      <c r="B59" t="s">
        <v>157</v>
      </c>
      <c r="C59">
        <v>4.4917075634002694</v>
      </c>
      <c r="D59">
        <v>199</v>
      </c>
      <c r="E59">
        <v>391</v>
      </c>
      <c r="F59">
        <v>7</v>
      </c>
      <c r="G59">
        <v>7</v>
      </c>
      <c r="H59">
        <v>7.2181818181818178</v>
      </c>
      <c r="I59">
        <v>1.653846153846154</v>
      </c>
      <c r="J59">
        <v>2.3454545454545448</v>
      </c>
      <c r="K59">
        <v>1.418181818181818</v>
      </c>
      <c r="L59">
        <v>7.8571428571428568</v>
      </c>
      <c r="M59">
        <v>36</v>
      </c>
      <c r="N59">
        <v>4</v>
      </c>
      <c r="O59">
        <v>4</v>
      </c>
      <c r="P59">
        <v>78</v>
      </c>
      <c r="Q59">
        <v>55</v>
      </c>
      <c r="R59">
        <v>7</v>
      </c>
      <c r="S59">
        <v>14</v>
      </c>
      <c r="T59">
        <v>641</v>
      </c>
      <c r="U59">
        <v>74</v>
      </c>
      <c r="V59">
        <v>397</v>
      </c>
      <c r="W59">
        <v>129</v>
      </c>
    </row>
    <row r="60" spans="1:23" x14ac:dyDescent="0.2">
      <c r="A60" t="s">
        <v>81</v>
      </c>
      <c r="B60" t="s">
        <v>157</v>
      </c>
      <c r="C60">
        <v>0.31450104713439941</v>
      </c>
      <c r="D60">
        <v>89</v>
      </c>
      <c r="E60">
        <v>540</v>
      </c>
      <c r="F60">
        <v>6</v>
      </c>
      <c r="G60">
        <v>5</v>
      </c>
      <c r="H60">
        <v>0</v>
      </c>
      <c r="I60">
        <v>1.071428571428571</v>
      </c>
      <c r="J60">
        <v>2.7272727272727271</v>
      </c>
      <c r="K60">
        <v>2.545454545454545</v>
      </c>
      <c r="L60">
        <v>4.4000000000000004</v>
      </c>
      <c r="M60">
        <v>0</v>
      </c>
      <c r="N60">
        <v>5</v>
      </c>
      <c r="O60">
        <v>5</v>
      </c>
      <c r="P60">
        <v>56</v>
      </c>
      <c r="Q60">
        <v>22</v>
      </c>
      <c r="R60">
        <v>5</v>
      </c>
      <c r="S60">
        <v>10</v>
      </c>
      <c r="T60">
        <v>160</v>
      </c>
      <c r="U60">
        <v>35</v>
      </c>
      <c r="V60">
        <v>0</v>
      </c>
      <c r="W60">
        <v>60</v>
      </c>
    </row>
    <row r="61" spans="1:23" x14ac:dyDescent="0.2">
      <c r="A61" t="s">
        <v>82</v>
      </c>
      <c r="B61" t="s">
        <v>157</v>
      </c>
      <c r="C61">
        <v>0.32743644714355469</v>
      </c>
      <c r="D61">
        <v>114</v>
      </c>
      <c r="E61">
        <v>157</v>
      </c>
      <c r="F61">
        <v>9</v>
      </c>
      <c r="G61">
        <v>5</v>
      </c>
      <c r="H61">
        <v>0.33333333333333331</v>
      </c>
      <c r="I61">
        <v>1.4230769230769229</v>
      </c>
      <c r="J61">
        <v>1.7619047619047621</v>
      </c>
      <c r="K61">
        <v>1.2380952380952379</v>
      </c>
      <c r="L61">
        <v>4.2</v>
      </c>
      <c r="M61">
        <v>2</v>
      </c>
      <c r="N61">
        <v>2</v>
      </c>
      <c r="O61">
        <v>2</v>
      </c>
      <c r="P61">
        <v>26</v>
      </c>
      <c r="Q61">
        <v>21</v>
      </c>
      <c r="R61">
        <v>5</v>
      </c>
      <c r="S61">
        <v>16</v>
      </c>
      <c r="T61">
        <v>299</v>
      </c>
      <c r="U61">
        <v>70</v>
      </c>
      <c r="V61">
        <v>7</v>
      </c>
      <c r="W61">
        <v>37</v>
      </c>
    </row>
    <row r="62" spans="1:23" x14ac:dyDescent="0.2">
      <c r="A62" t="s">
        <v>83</v>
      </c>
      <c r="B62" t="s">
        <v>158</v>
      </c>
      <c r="C62" t="s">
        <v>159</v>
      </c>
      <c r="D62" t="s">
        <v>159</v>
      </c>
      <c r="E62" t="s">
        <v>159</v>
      </c>
      <c r="F62" t="s">
        <v>159</v>
      </c>
      <c r="G62" t="s">
        <v>159</v>
      </c>
      <c r="H62" t="s">
        <v>159</v>
      </c>
      <c r="I62" t="s">
        <v>159</v>
      </c>
      <c r="J62" t="s">
        <v>159</v>
      </c>
      <c r="K62" t="s">
        <v>159</v>
      </c>
      <c r="L62" t="s">
        <v>159</v>
      </c>
      <c r="M62" t="s">
        <v>159</v>
      </c>
      <c r="N62" t="s">
        <v>159</v>
      </c>
      <c r="O62" t="s">
        <v>159</v>
      </c>
      <c r="P62" t="s">
        <v>159</v>
      </c>
      <c r="Q62" t="s">
        <v>159</v>
      </c>
      <c r="R62" t="s">
        <v>159</v>
      </c>
      <c r="S62" t="s">
        <v>159</v>
      </c>
      <c r="T62" t="s">
        <v>159</v>
      </c>
      <c r="U62" t="s">
        <v>159</v>
      </c>
      <c r="V62" t="s">
        <v>159</v>
      </c>
      <c r="W62" t="s">
        <v>159</v>
      </c>
    </row>
    <row r="63" spans="1:23" x14ac:dyDescent="0.2">
      <c r="A63" t="s">
        <v>84</v>
      </c>
      <c r="B63" t="s">
        <v>157</v>
      </c>
      <c r="C63">
        <v>6.7018795013427734</v>
      </c>
      <c r="D63">
        <v>0</v>
      </c>
      <c r="E63">
        <v>438</v>
      </c>
      <c r="F63">
        <v>4</v>
      </c>
      <c r="G63">
        <v>4</v>
      </c>
      <c r="H63">
        <v>141395.3846153846</v>
      </c>
      <c r="I63">
        <v>1.576271186440678</v>
      </c>
      <c r="J63">
        <v>3.5769230769230771</v>
      </c>
      <c r="K63">
        <v>2.2692307692307692</v>
      </c>
      <c r="L63">
        <v>13</v>
      </c>
      <c r="M63">
        <v>2985984</v>
      </c>
      <c r="N63">
        <v>3</v>
      </c>
      <c r="O63">
        <v>3</v>
      </c>
      <c r="P63">
        <v>118</v>
      </c>
      <c r="Q63">
        <v>52</v>
      </c>
      <c r="R63">
        <v>4</v>
      </c>
      <c r="S63">
        <v>12</v>
      </c>
      <c r="T63">
        <v>438</v>
      </c>
      <c r="U63">
        <v>26</v>
      </c>
      <c r="V63">
        <v>7352560</v>
      </c>
      <c r="W63">
        <v>186</v>
      </c>
    </row>
    <row r="64" spans="1:23" x14ac:dyDescent="0.2">
      <c r="A64" t="s">
        <v>85</v>
      </c>
      <c r="B64" t="s">
        <v>157</v>
      </c>
      <c r="C64">
        <v>205.13161683082581</v>
      </c>
      <c r="D64">
        <v>5921</v>
      </c>
      <c r="E64">
        <v>16607</v>
      </c>
      <c r="F64">
        <v>9</v>
      </c>
      <c r="G64">
        <v>9</v>
      </c>
      <c r="H64">
        <v>157763.8095238095</v>
      </c>
      <c r="I64">
        <v>1.4683544303797471</v>
      </c>
      <c r="J64">
        <v>2.7619047619047619</v>
      </c>
      <c r="K64">
        <v>1.8809523809523809</v>
      </c>
      <c r="L64">
        <v>4.666666666666667</v>
      </c>
      <c r="M64">
        <v>1000000</v>
      </c>
      <c r="N64">
        <v>2</v>
      </c>
      <c r="O64">
        <v>5</v>
      </c>
      <c r="P64">
        <v>79</v>
      </c>
      <c r="Q64">
        <v>42</v>
      </c>
      <c r="R64">
        <v>9</v>
      </c>
      <c r="S64">
        <v>18</v>
      </c>
      <c r="T64">
        <v>640</v>
      </c>
      <c r="U64">
        <v>133</v>
      </c>
      <c r="V64">
        <v>6626080</v>
      </c>
      <c r="W64">
        <v>116</v>
      </c>
    </row>
    <row r="65" spans="1:23" x14ac:dyDescent="0.2">
      <c r="A65" t="s">
        <v>86</v>
      </c>
      <c r="B65" t="s">
        <v>157</v>
      </c>
      <c r="C65">
        <v>6.535388708114624</v>
      </c>
      <c r="D65">
        <v>558</v>
      </c>
      <c r="E65">
        <v>342</v>
      </c>
      <c r="F65">
        <v>10</v>
      </c>
      <c r="G65">
        <v>10</v>
      </c>
      <c r="H65">
        <v>152.67500000000001</v>
      </c>
      <c r="I65">
        <v>1</v>
      </c>
      <c r="J65">
        <v>1.55</v>
      </c>
      <c r="K65">
        <v>1.55</v>
      </c>
      <c r="L65">
        <v>4</v>
      </c>
      <c r="M65">
        <v>855</v>
      </c>
      <c r="N65">
        <v>1</v>
      </c>
      <c r="O65">
        <v>2</v>
      </c>
      <c r="P65">
        <v>62</v>
      </c>
      <c r="Q65">
        <v>40</v>
      </c>
      <c r="R65">
        <v>10</v>
      </c>
      <c r="S65">
        <v>10</v>
      </c>
      <c r="T65">
        <v>338</v>
      </c>
      <c r="U65">
        <v>82</v>
      </c>
      <c r="V65">
        <v>6107</v>
      </c>
      <c r="W65">
        <v>62</v>
      </c>
    </row>
    <row r="66" spans="1:23" x14ac:dyDescent="0.2">
      <c r="A66" t="s">
        <v>87</v>
      </c>
      <c r="B66" t="s">
        <v>158</v>
      </c>
      <c r="C66" t="s">
        <v>159</v>
      </c>
      <c r="D66" t="s">
        <v>159</v>
      </c>
      <c r="E66" t="s">
        <v>159</v>
      </c>
      <c r="F66" t="s">
        <v>159</v>
      </c>
      <c r="G66" t="s">
        <v>159</v>
      </c>
      <c r="H66" t="s">
        <v>159</v>
      </c>
      <c r="I66" t="s">
        <v>159</v>
      </c>
      <c r="J66" t="s">
        <v>159</v>
      </c>
      <c r="K66" t="s">
        <v>159</v>
      </c>
      <c r="L66" t="s">
        <v>159</v>
      </c>
      <c r="M66" t="s">
        <v>159</v>
      </c>
      <c r="N66" t="s">
        <v>159</v>
      </c>
      <c r="O66" t="s">
        <v>159</v>
      </c>
      <c r="P66" t="s">
        <v>159</v>
      </c>
      <c r="Q66" t="s">
        <v>159</v>
      </c>
      <c r="R66" t="s">
        <v>159</v>
      </c>
      <c r="S66" t="s">
        <v>159</v>
      </c>
      <c r="T66" t="s">
        <v>159</v>
      </c>
      <c r="U66" t="s">
        <v>159</v>
      </c>
      <c r="V66" t="s">
        <v>159</v>
      </c>
      <c r="W66" t="s">
        <v>159</v>
      </c>
    </row>
    <row r="67" spans="1:23" x14ac:dyDescent="0.2">
      <c r="A67" t="s">
        <v>88</v>
      </c>
      <c r="B67" t="s">
        <v>157</v>
      </c>
      <c r="C67">
        <v>0.47553706169128418</v>
      </c>
      <c r="D67">
        <v>93</v>
      </c>
      <c r="E67">
        <v>159</v>
      </c>
      <c r="F67">
        <v>6</v>
      </c>
      <c r="G67">
        <v>5</v>
      </c>
      <c r="H67">
        <v>9.0909090909090912E-2</v>
      </c>
      <c r="I67">
        <v>1.088888888888889</v>
      </c>
      <c r="J67">
        <v>2.2272727272727271</v>
      </c>
      <c r="K67">
        <v>2.045454545454545</v>
      </c>
      <c r="L67">
        <v>4.4000000000000004</v>
      </c>
      <c r="M67">
        <v>1</v>
      </c>
      <c r="N67">
        <v>5</v>
      </c>
      <c r="O67">
        <v>5</v>
      </c>
      <c r="P67">
        <v>45</v>
      </c>
      <c r="Q67">
        <v>22</v>
      </c>
      <c r="R67">
        <v>5</v>
      </c>
      <c r="S67">
        <v>9</v>
      </c>
      <c r="T67">
        <v>149</v>
      </c>
      <c r="U67">
        <v>26</v>
      </c>
      <c r="V67">
        <v>2</v>
      </c>
      <c r="W67">
        <v>49</v>
      </c>
    </row>
    <row r="68" spans="1:23" x14ac:dyDescent="0.2">
      <c r="A68" t="s">
        <v>89</v>
      </c>
      <c r="B68" t="s">
        <v>158</v>
      </c>
      <c r="C68" t="s">
        <v>159</v>
      </c>
      <c r="D68" t="s">
        <v>159</v>
      </c>
      <c r="E68" t="s">
        <v>159</v>
      </c>
      <c r="F68" t="s">
        <v>159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</row>
    <row r="69" spans="1:23" x14ac:dyDescent="0.2">
      <c r="A69" t="s">
        <v>90</v>
      </c>
      <c r="B69" t="s">
        <v>158</v>
      </c>
      <c r="C69" t="s">
        <v>159</v>
      </c>
      <c r="D69" t="s">
        <v>159</v>
      </c>
      <c r="E69" t="s">
        <v>159</v>
      </c>
      <c r="F69" t="s">
        <v>159</v>
      </c>
      <c r="G69" t="s">
        <v>159</v>
      </c>
      <c r="H69" t="s">
        <v>159</v>
      </c>
      <c r="I69" t="s">
        <v>159</v>
      </c>
      <c r="J69" t="s">
        <v>159</v>
      </c>
      <c r="K69" t="s">
        <v>159</v>
      </c>
      <c r="L69" t="s">
        <v>159</v>
      </c>
      <c r="M69" t="s">
        <v>159</v>
      </c>
      <c r="N69" t="s">
        <v>159</v>
      </c>
      <c r="O69" t="s">
        <v>159</v>
      </c>
      <c r="P69" t="s">
        <v>159</v>
      </c>
      <c r="Q69" t="s">
        <v>159</v>
      </c>
      <c r="R69" t="s">
        <v>159</v>
      </c>
      <c r="S69" t="s">
        <v>159</v>
      </c>
      <c r="T69" t="s">
        <v>159</v>
      </c>
      <c r="U69" t="s">
        <v>159</v>
      </c>
      <c r="V69" t="s">
        <v>159</v>
      </c>
      <c r="W69" t="s">
        <v>159</v>
      </c>
    </row>
    <row r="70" spans="1:23" x14ac:dyDescent="0.2">
      <c r="A70" t="s">
        <v>91</v>
      </c>
      <c r="B70" t="s">
        <v>157</v>
      </c>
      <c r="C70">
        <v>90.896047592163086</v>
      </c>
      <c r="D70">
        <v>719</v>
      </c>
      <c r="E70">
        <v>1760</v>
      </c>
      <c r="F70">
        <v>8</v>
      </c>
      <c r="G70">
        <v>8</v>
      </c>
      <c r="H70">
        <v>1.583333333333333</v>
      </c>
      <c r="I70">
        <v>1.119565217391304</v>
      </c>
      <c r="J70">
        <v>1.716666666666667</v>
      </c>
      <c r="K70">
        <v>1.533333333333333</v>
      </c>
      <c r="L70">
        <v>7.5</v>
      </c>
      <c r="M70">
        <v>2</v>
      </c>
      <c r="N70">
        <v>2</v>
      </c>
      <c r="O70">
        <v>2</v>
      </c>
      <c r="P70">
        <v>92</v>
      </c>
      <c r="Q70">
        <v>60</v>
      </c>
      <c r="R70">
        <v>8</v>
      </c>
      <c r="S70">
        <v>16</v>
      </c>
      <c r="T70">
        <v>857</v>
      </c>
      <c r="U70">
        <v>113</v>
      </c>
      <c r="V70">
        <v>95</v>
      </c>
      <c r="W70">
        <v>103</v>
      </c>
    </row>
    <row r="71" spans="1:23" x14ac:dyDescent="0.2">
      <c r="A71" t="s">
        <v>92</v>
      </c>
      <c r="B71" t="s">
        <v>157</v>
      </c>
      <c r="C71">
        <v>0.48538017272949219</v>
      </c>
      <c r="D71">
        <v>98</v>
      </c>
      <c r="E71">
        <v>348</v>
      </c>
      <c r="F71">
        <v>5</v>
      </c>
      <c r="G71">
        <v>5</v>
      </c>
      <c r="H71">
        <v>4.5454545454545463E-2</v>
      </c>
      <c r="I71">
        <v>1</v>
      </c>
      <c r="J71">
        <v>2.5</v>
      </c>
      <c r="K71">
        <v>2.5</v>
      </c>
      <c r="L71">
        <v>4.4000000000000004</v>
      </c>
      <c r="M71">
        <v>1</v>
      </c>
      <c r="N71">
        <v>1</v>
      </c>
      <c r="O71">
        <v>5</v>
      </c>
      <c r="P71">
        <v>55</v>
      </c>
      <c r="Q71">
        <v>22</v>
      </c>
      <c r="R71">
        <v>5</v>
      </c>
      <c r="S71">
        <v>5</v>
      </c>
      <c r="T71">
        <v>55</v>
      </c>
      <c r="U71">
        <v>10</v>
      </c>
      <c r="V71">
        <v>1</v>
      </c>
      <c r="W71">
        <v>55</v>
      </c>
    </row>
    <row r="72" spans="1:23" x14ac:dyDescent="0.2">
      <c r="A72" t="s">
        <v>93</v>
      </c>
      <c r="B72" t="s">
        <v>157</v>
      </c>
      <c r="C72">
        <v>306.74943614006042</v>
      </c>
      <c r="D72">
        <v>1906</v>
      </c>
      <c r="E72">
        <v>18070</v>
      </c>
      <c r="F72">
        <v>13</v>
      </c>
      <c r="G72">
        <v>12</v>
      </c>
      <c r="H72">
        <v>7.8367346938775508</v>
      </c>
      <c r="I72">
        <v>1.104166666666667</v>
      </c>
      <c r="J72">
        <v>2.1632653061224492</v>
      </c>
      <c r="K72">
        <v>1.9591836734693879</v>
      </c>
      <c r="L72">
        <v>8.1666666666666661</v>
      </c>
      <c r="M72">
        <v>18</v>
      </c>
      <c r="N72">
        <v>3</v>
      </c>
      <c r="O72">
        <v>3</v>
      </c>
      <c r="P72">
        <v>192</v>
      </c>
      <c r="Q72">
        <v>98</v>
      </c>
      <c r="R72">
        <v>12</v>
      </c>
      <c r="S72">
        <v>15</v>
      </c>
      <c r="T72">
        <v>1258</v>
      </c>
      <c r="U72">
        <v>156</v>
      </c>
      <c r="V72">
        <v>768</v>
      </c>
      <c r="W72">
        <v>212</v>
      </c>
    </row>
    <row r="73" spans="1:23" x14ac:dyDescent="0.2">
      <c r="A73" t="s">
        <v>94</v>
      </c>
      <c r="B73" t="s">
        <v>157</v>
      </c>
      <c r="C73">
        <v>19.690487623214722</v>
      </c>
      <c r="D73">
        <v>415</v>
      </c>
      <c r="E73">
        <v>1968</v>
      </c>
      <c r="F73">
        <v>7</v>
      </c>
      <c r="G73">
        <v>6</v>
      </c>
      <c r="H73">
        <v>6.25E-2</v>
      </c>
      <c r="I73">
        <v>1.061728395061728</v>
      </c>
      <c r="J73">
        <v>2.6875</v>
      </c>
      <c r="K73">
        <v>2.53125</v>
      </c>
      <c r="L73">
        <v>5.333333333333333</v>
      </c>
      <c r="M73">
        <v>1</v>
      </c>
      <c r="N73">
        <v>6</v>
      </c>
      <c r="O73">
        <v>6</v>
      </c>
      <c r="P73">
        <v>81</v>
      </c>
      <c r="Q73">
        <v>32</v>
      </c>
      <c r="R73">
        <v>6</v>
      </c>
      <c r="S73">
        <v>11</v>
      </c>
      <c r="T73">
        <v>266</v>
      </c>
      <c r="U73">
        <v>40</v>
      </c>
      <c r="V73">
        <v>2</v>
      </c>
      <c r="W73">
        <v>86</v>
      </c>
    </row>
    <row r="74" spans="1:23" x14ac:dyDescent="0.2">
      <c r="A74" t="s">
        <v>95</v>
      </c>
      <c r="B74" t="s">
        <v>157</v>
      </c>
      <c r="C74">
        <v>84.911496162414551</v>
      </c>
      <c r="D74">
        <v>348</v>
      </c>
      <c r="E74">
        <v>2580</v>
      </c>
      <c r="F74">
        <v>5</v>
      </c>
      <c r="G74">
        <v>5</v>
      </c>
      <c r="H74">
        <v>2.0869565217391299</v>
      </c>
      <c r="I74">
        <v>1.657142857142857</v>
      </c>
      <c r="J74">
        <v>2.5217391304347831</v>
      </c>
      <c r="K74">
        <v>1.5217391304347829</v>
      </c>
      <c r="L74">
        <v>23</v>
      </c>
      <c r="M74">
        <v>6</v>
      </c>
      <c r="N74">
        <v>3</v>
      </c>
      <c r="O74">
        <v>2</v>
      </c>
      <c r="P74">
        <v>175</v>
      </c>
      <c r="Q74">
        <v>115</v>
      </c>
      <c r="R74">
        <v>5</v>
      </c>
      <c r="S74">
        <v>15</v>
      </c>
      <c r="T74">
        <v>1435</v>
      </c>
      <c r="U74">
        <v>60</v>
      </c>
      <c r="V74">
        <v>240</v>
      </c>
      <c r="W74">
        <v>290</v>
      </c>
    </row>
    <row r="75" spans="1:23" x14ac:dyDescent="0.2">
      <c r="A75" t="s">
        <v>96</v>
      </c>
      <c r="B75" t="s">
        <v>158</v>
      </c>
      <c r="C75" t="s">
        <v>159</v>
      </c>
      <c r="D75" t="s">
        <v>159</v>
      </c>
      <c r="E75" t="s">
        <v>159</v>
      </c>
      <c r="F75" t="s">
        <v>159</v>
      </c>
      <c r="G75" t="s">
        <v>159</v>
      </c>
      <c r="H75" t="s">
        <v>159</v>
      </c>
      <c r="I75" t="s">
        <v>159</v>
      </c>
      <c r="J75" t="s">
        <v>159</v>
      </c>
      <c r="K75" t="s">
        <v>159</v>
      </c>
      <c r="L75" t="s">
        <v>159</v>
      </c>
      <c r="M75" t="s">
        <v>159</v>
      </c>
      <c r="N75" t="s">
        <v>159</v>
      </c>
      <c r="O75" t="s">
        <v>159</v>
      </c>
      <c r="P75" t="s">
        <v>159</v>
      </c>
      <c r="Q75" t="s">
        <v>159</v>
      </c>
      <c r="R75" t="s">
        <v>159</v>
      </c>
      <c r="S75" t="s">
        <v>159</v>
      </c>
      <c r="T75" t="s">
        <v>159</v>
      </c>
      <c r="U75" t="s">
        <v>159</v>
      </c>
      <c r="V75" t="s">
        <v>159</v>
      </c>
      <c r="W75" t="s">
        <v>159</v>
      </c>
    </row>
    <row r="76" spans="1:23" x14ac:dyDescent="0.2">
      <c r="A76" t="s">
        <v>97</v>
      </c>
      <c r="B76" t="s">
        <v>158</v>
      </c>
      <c r="C76" t="s">
        <v>159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  <c r="Q76" t="s">
        <v>159</v>
      </c>
      <c r="R76" t="s">
        <v>159</v>
      </c>
      <c r="S76" t="s">
        <v>159</v>
      </c>
      <c r="T76" t="s">
        <v>159</v>
      </c>
      <c r="U76" t="s">
        <v>159</v>
      </c>
      <c r="V76" t="s">
        <v>159</v>
      </c>
      <c r="W76" t="s">
        <v>159</v>
      </c>
    </row>
    <row r="77" spans="1:23" x14ac:dyDescent="0.2">
      <c r="A77" t="s">
        <v>98</v>
      </c>
      <c r="B77" t="s">
        <v>158</v>
      </c>
      <c r="C77" t="s">
        <v>159</v>
      </c>
      <c r="D77" t="s">
        <v>159</v>
      </c>
      <c r="E77" t="s">
        <v>159</v>
      </c>
      <c r="F77" t="s">
        <v>159</v>
      </c>
      <c r="G77" t="s">
        <v>159</v>
      </c>
      <c r="H77" t="s">
        <v>159</v>
      </c>
      <c r="I77" t="s">
        <v>159</v>
      </c>
      <c r="J77" t="s">
        <v>159</v>
      </c>
      <c r="K77" t="s">
        <v>159</v>
      </c>
      <c r="L77" t="s">
        <v>159</v>
      </c>
      <c r="M77" t="s">
        <v>159</v>
      </c>
      <c r="N77" t="s">
        <v>159</v>
      </c>
      <c r="O77" t="s">
        <v>159</v>
      </c>
      <c r="P77" t="s">
        <v>159</v>
      </c>
      <c r="Q77" t="s">
        <v>159</v>
      </c>
      <c r="R77" t="s">
        <v>159</v>
      </c>
      <c r="S77" t="s">
        <v>159</v>
      </c>
      <c r="T77" t="s">
        <v>159</v>
      </c>
      <c r="U77" t="s">
        <v>159</v>
      </c>
      <c r="V77" t="s">
        <v>159</v>
      </c>
      <c r="W77" t="s">
        <v>159</v>
      </c>
    </row>
    <row r="78" spans="1:23" x14ac:dyDescent="0.2">
      <c r="A78" t="s">
        <v>99</v>
      </c>
      <c r="B78" t="s">
        <v>158</v>
      </c>
      <c r="C78" t="s">
        <v>159</v>
      </c>
      <c r="D78" t="s">
        <v>159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  <c r="K78" t="s">
        <v>159</v>
      </c>
      <c r="L78" t="s">
        <v>159</v>
      </c>
      <c r="M78" t="s">
        <v>159</v>
      </c>
      <c r="N78" t="s">
        <v>159</v>
      </c>
      <c r="O78" t="s">
        <v>159</v>
      </c>
      <c r="P78" t="s">
        <v>159</v>
      </c>
      <c r="Q78" t="s">
        <v>159</v>
      </c>
      <c r="R78" t="s">
        <v>159</v>
      </c>
      <c r="S78" t="s">
        <v>159</v>
      </c>
      <c r="T78" t="s">
        <v>159</v>
      </c>
      <c r="U78" t="s">
        <v>159</v>
      </c>
      <c r="V78" t="s">
        <v>159</v>
      </c>
      <c r="W78" t="s">
        <v>159</v>
      </c>
    </row>
    <row r="79" spans="1:23" x14ac:dyDescent="0.2">
      <c r="A79" t="s">
        <v>100</v>
      </c>
      <c r="B79" t="s">
        <v>157</v>
      </c>
      <c r="C79">
        <v>65.343093156814575</v>
      </c>
      <c r="D79">
        <v>2279</v>
      </c>
      <c r="E79">
        <v>2004</v>
      </c>
      <c r="F79">
        <v>12</v>
      </c>
      <c r="G79">
        <v>12</v>
      </c>
      <c r="H79">
        <v>5592.782608695652</v>
      </c>
      <c r="I79">
        <v>1.1111111111111109</v>
      </c>
      <c r="J79">
        <v>1.7391304347826091</v>
      </c>
      <c r="K79">
        <v>1.5652173913043479</v>
      </c>
      <c r="L79">
        <v>3.833333333333333</v>
      </c>
      <c r="M79">
        <v>39701</v>
      </c>
      <c r="N79">
        <v>2</v>
      </c>
      <c r="O79">
        <v>5</v>
      </c>
      <c r="P79">
        <v>72</v>
      </c>
      <c r="Q79">
        <v>46</v>
      </c>
      <c r="R79">
        <v>12</v>
      </c>
      <c r="S79">
        <v>24</v>
      </c>
      <c r="T79">
        <v>1024</v>
      </c>
      <c r="U79">
        <v>260</v>
      </c>
      <c r="V79">
        <v>257268</v>
      </c>
      <c r="W79">
        <v>80</v>
      </c>
    </row>
    <row r="80" spans="1:23" x14ac:dyDescent="0.2">
      <c r="A80" t="s">
        <v>101</v>
      </c>
      <c r="B80" t="s">
        <v>157</v>
      </c>
      <c r="C80">
        <v>0.7572178840637207</v>
      </c>
      <c r="D80">
        <v>203</v>
      </c>
      <c r="E80">
        <v>265</v>
      </c>
      <c r="F80">
        <v>7</v>
      </c>
      <c r="G80">
        <v>7</v>
      </c>
      <c r="H80">
        <v>0.61764705882352944</v>
      </c>
      <c r="I80">
        <v>1</v>
      </c>
      <c r="J80">
        <v>1.411764705882353</v>
      </c>
      <c r="K80">
        <v>1.411764705882353</v>
      </c>
      <c r="L80">
        <v>4.8571428571428568</v>
      </c>
      <c r="M80">
        <v>6</v>
      </c>
      <c r="N80">
        <v>1</v>
      </c>
      <c r="O80">
        <v>2</v>
      </c>
      <c r="P80">
        <v>48</v>
      </c>
      <c r="Q80">
        <v>34</v>
      </c>
      <c r="R80">
        <v>7</v>
      </c>
      <c r="S80">
        <v>7</v>
      </c>
      <c r="T80">
        <v>190</v>
      </c>
      <c r="U80">
        <v>37</v>
      </c>
      <c r="V80">
        <v>21</v>
      </c>
      <c r="W80">
        <v>48</v>
      </c>
    </row>
    <row r="81" spans="1:23" x14ac:dyDescent="0.2">
      <c r="A81" t="s">
        <v>102</v>
      </c>
      <c r="B81" t="s">
        <v>157</v>
      </c>
      <c r="C81">
        <v>4957.5373883247375</v>
      </c>
      <c r="D81">
        <v>1691</v>
      </c>
      <c r="E81">
        <v>2847</v>
      </c>
      <c r="F81">
        <v>9</v>
      </c>
      <c r="G81">
        <v>9</v>
      </c>
      <c r="H81">
        <v>279276.82978723402</v>
      </c>
      <c r="I81">
        <v>2.486486486486486</v>
      </c>
      <c r="J81">
        <v>4.5673758865248226</v>
      </c>
      <c r="K81">
        <v>1.836879432624114</v>
      </c>
      <c r="L81">
        <v>15.66666666666667</v>
      </c>
      <c r="M81">
        <v>2177280</v>
      </c>
      <c r="N81">
        <v>6</v>
      </c>
      <c r="O81">
        <v>2</v>
      </c>
      <c r="P81">
        <v>259</v>
      </c>
      <c r="Q81">
        <v>141</v>
      </c>
      <c r="R81">
        <v>9</v>
      </c>
      <c r="S81">
        <v>29</v>
      </c>
      <c r="T81">
        <v>3445</v>
      </c>
      <c r="U81">
        <v>198</v>
      </c>
      <c r="V81">
        <v>39378033</v>
      </c>
      <c r="W81">
        <v>644</v>
      </c>
    </row>
    <row r="82" spans="1:23" x14ac:dyDescent="0.2">
      <c r="A82" t="s">
        <v>103</v>
      </c>
      <c r="B82" t="s">
        <v>158</v>
      </c>
      <c r="C82" t="s">
        <v>159</v>
      </c>
      <c r="D82" t="s">
        <v>159</v>
      </c>
      <c r="E82" t="s">
        <v>159</v>
      </c>
      <c r="F82" t="s">
        <v>159</v>
      </c>
      <c r="G82" t="s">
        <v>159</v>
      </c>
      <c r="H82" t="s">
        <v>159</v>
      </c>
      <c r="I82" t="s">
        <v>159</v>
      </c>
      <c r="J82" t="s">
        <v>159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  <c r="V82" t="s">
        <v>159</v>
      </c>
      <c r="W82" t="s">
        <v>159</v>
      </c>
    </row>
    <row r="83" spans="1:23" x14ac:dyDescent="0.2">
      <c r="A83" t="s">
        <v>104</v>
      </c>
      <c r="B83" t="s">
        <v>157</v>
      </c>
      <c r="C83">
        <v>369.18428444862371</v>
      </c>
      <c r="D83">
        <v>1462</v>
      </c>
      <c r="E83">
        <v>7326</v>
      </c>
      <c r="F83">
        <v>8</v>
      </c>
      <c r="G83">
        <v>6</v>
      </c>
      <c r="H83">
        <v>55.971830985915503</v>
      </c>
      <c r="I83">
        <v>1.249169435215947</v>
      </c>
      <c r="J83">
        <v>2.647887323943662</v>
      </c>
      <c r="K83">
        <v>2.119718309859155</v>
      </c>
      <c r="L83">
        <v>23.666666666666671</v>
      </c>
      <c r="M83">
        <v>443</v>
      </c>
      <c r="N83">
        <v>2</v>
      </c>
      <c r="O83">
        <v>3</v>
      </c>
      <c r="P83">
        <v>301</v>
      </c>
      <c r="Q83">
        <v>142</v>
      </c>
      <c r="R83">
        <v>6</v>
      </c>
      <c r="S83">
        <v>14</v>
      </c>
      <c r="T83">
        <v>1612</v>
      </c>
      <c r="U83">
        <v>67</v>
      </c>
      <c r="V83">
        <v>7948</v>
      </c>
      <c r="W83">
        <v>376</v>
      </c>
    </row>
    <row r="84" spans="1:23" x14ac:dyDescent="0.2">
      <c r="A84" t="s">
        <v>105</v>
      </c>
      <c r="B84" t="s">
        <v>157</v>
      </c>
      <c r="C84">
        <v>13.07046508789062</v>
      </c>
      <c r="D84">
        <v>305</v>
      </c>
      <c r="E84">
        <v>2108</v>
      </c>
      <c r="F84">
        <v>5</v>
      </c>
      <c r="G84">
        <v>5</v>
      </c>
      <c r="H84">
        <v>10.16666666666667</v>
      </c>
      <c r="I84">
        <v>1.444444444444444</v>
      </c>
      <c r="J84">
        <v>2.166666666666667</v>
      </c>
      <c r="K84">
        <v>1.5</v>
      </c>
      <c r="L84">
        <v>6</v>
      </c>
      <c r="M84">
        <v>11</v>
      </c>
      <c r="N84">
        <v>2</v>
      </c>
      <c r="O84">
        <v>2</v>
      </c>
      <c r="P84">
        <v>45</v>
      </c>
      <c r="Q84">
        <v>30</v>
      </c>
      <c r="R84">
        <v>5</v>
      </c>
      <c r="S84">
        <v>10</v>
      </c>
      <c r="T84">
        <v>235</v>
      </c>
      <c r="U84">
        <v>35</v>
      </c>
      <c r="V84">
        <v>305</v>
      </c>
      <c r="W84">
        <v>65</v>
      </c>
    </row>
    <row r="85" spans="1:23" x14ac:dyDescent="0.2">
      <c r="A85" t="s">
        <v>106</v>
      </c>
      <c r="B85" t="s">
        <v>157</v>
      </c>
      <c r="C85">
        <v>5.9414043426513672</v>
      </c>
      <c r="D85">
        <v>273</v>
      </c>
      <c r="E85">
        <v>4127</v>
      </c>
      <c r="F85">
        <v>7</v>
      </c>
      <c r="G85">
        <v>6</v>
      </c>
      <c r="H85">
        <v>0</v>
      </c>
      <c r="I85">
        <v>1.0515463917525769</v>
      </c>
      <c r="J85">
        <v>3.1875</v>
      </c>
      <c r="K85">
        <v>3.03125</v>
      </c>
      <c r="L85">
        <v>5.333333333333333</v>
      </c>
      <c r="M85">
        <v>0</v>
      </c>
      <c r="N85">
        <v>6</v>
      </c>
      <c r="O85">
        <v>6</v>
      </c>
      <c r="P85">
        <v>97</v>
      </c>
      <c r="Q85">
        <v>32</v>
      </c>
      <c r="R85">
        <v>6</v>
      </c>
      <c r="S85">
        <v>12</v>
      </c>
      <c r="T85">
        <v>282</v>
      </c>
      <c r="U85">
        <v>51</v>
      </c>
      <c r="V85">
        <v>0</v>
      </c>
      <c r="W85">
        <v>102</v>
      </c>
    </row>
    <row r="86" spans="1:23" x14ac:dyDescent="0.2">
      <c r="A86" t="s">
        <v>107</v>
      </c>
      <c r="B86" t="s">
        <v>158</v>
      </c>
      <c r="C86" t="s">
        <v>159</v>
      </c>
      <c r="D86" t="s">
        <v>159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  <c r="N86" t="s">
        <v>159</v>
      </c>
      <c r="O86" t="s">
        <v>159</v>
      </c>
      <c r="P86" t="s">
        <v>159</v>
      </c>
      <c r="Q86" t="s">
        <v>159</v>
      </c>
      <c r="R86" t="s">
        <v>159</v>
      </c>
      <c r="S86" t="s">
        <v>159</v>
      </c>
      <c r="T86" t="s">
        <v>159</v>
      </c>
      <c r="U86" t="s">
        <v>159</v>
      </c>
      <c r="V86" t="s">
        <v>159</v>
      </c>
      <c r="W86" t="s">
        <v>159</v>
      </c>
    </row>
    <row r="87" spans="1:23" x14ac:dyDescent="0.2">
      <c r="A87" t="s">
        <v>108</v>
      </c>
      <c r="B87" t="s">
        <v>157</v>
      </c>
      <c r="C87">
        <v>427.0883674621582</v>
      </c>
      <c r="D87">
        <v>1892</v>
      </c>
      <c r="E87">
        <v>3430</v>
      </c>
      <c r="F87">
        <v>8</v>
      </c>
      <c r="G87">
        <v>8</v>
      </c>
      <c r="H87">
        <v>782.96116504854365</v>
      </c>
      <c r="I87">
        <v>1.041450777202072</v>
      </c>
      <c r="J87">
        <v>1.9514563106796119</v>
      </c>
      <c r="K87">
        <v>1.8737864077669899</v>
      </c>
      <c r="L87">
        <v>12.875</v>
      </c>
      <c r="M87">
        <v>9899</v>
      </c>
      <c r="N87">
        <v>2</v>
      </c>
      <c r="O87">
        <v>3</v>
      </c>
      <c r="P87">
        <v>193</v>
      </c>
      <c r="Q87">
        <v>103</v>
      </c>
      <c r="R87">
        <v>8</v>
      </c>
      <c r="S87">
        <v>16</v>
      </c>
      <c r="T87">
        <v>1447</v>
      </c>
      <c r="U87">
        <v>109</v>
      </c>
      <c r="V87">
        <v>80645</v>
      </c>
      <c r="W87">
        <v>201</v>
      </c>
    </row>
    <row r="88" spans="1:23" x14ac:dyDescent="0.2">
      <c r="A88" t="s">
        <v>109</v>
      </c>
      <c r="B88" t="s">
        <v>157</v>
      </c>
      <c r="C88">
        <v>1977.0453145504</v>
      </c>
      <c r="D88">
        <v>85</v>
      </c>
      <c r="E88">
        <v>8262</v>
      </c>
      <c r="F88">
        <v>4</v>
      </c>
      <c r="G88">
        <v>4</v>
      </c>
      <c r="H88">
        <v>112077.5540540541</v>
      </c>
      <c r="I88">
        <v>1.6481481481481479</v>
      </c>
      <c r="J88">
        <v>3.6081081081081079</v>
      </c>
      <c r="K88">
        <v>2.189189189189189</v>
      </c>
      <c r="L88">
        <v>18.5</v>
      </c>
      <c r="M88">
        <v>2985984</v>
      </c>
      <c r="N88">
        <v>3</v>
      </c>
      <c r="O88">
        <v>3</v>
      </c>
      <c r="P88">
        <v>162</v>
      </c>
      <c r="Q88">
        <v>74</v>
      </c>
      <c r="R88">
        <v>4</v>
      </c>
      <c r="S88">
        <v>12</v>
      </c>
      <c r="T88">
        <v>621</v>
      </c>
      <c r="U88">
        <v>26</v>
      </c>
      <c r="V88">
        <v>8293739</v>
      </c>
      <c r="W88">
        <v>267</v>
      </c>
    </row>
    <row r="89" spans="1:23" x14ac:dyDescent="0.2">
      <c r="A89" t="s">
        <v>110</v>
      </c>
      <c r="B89" t="s">
        <v>157</v>
      </c>
      <c r="C89">
        <v>249.79613471031189</v>
      </c>
      <c r="D89">
        <v>2392</v>
      </c>
      <c r="E89">
        <v>3916</v>
      </c>
      <c r="F89">
        <v>9</v>
      </c>
      <c r="G89">
        <v>9</v>
      </c>
      <c r="H89">
        <v>0.69811320754716977</v>
      </c>
      <c r="I89">
        <v>1</v>
      </c>
      <c r="J89">
        <v>2.0377358490566042</v>
      </c>
      <c r="K89">
        <v>2.0377358490566042</v>
      </c>
      <c r="L89">
        <v>5.8888888888888893</v>
      </c>
      <c r="M89">
        <v>8</v>
      </c>
      <c r="N89">
        <v>1</v>
      </c>
      <c r="O89">
        <v>3</v>
      </c>
      <c r="P89">
        <v>108</v>
      </c>
      <c r="Q89">
        <v>53</v>
      </c>
      <c r="R89">
        <v>9</v>
      </c>
      <c r="S89">
        <v>9</v>
      </c>
      <c r="T89">
        <v>369</v>
      </c>
      <c r="U89">
        <v>57</v>
      </c>
      <c r="V89">
        <v>37</v>
      </c>
      <c r="W89">
        <v>108</v>
      </c>
    </row>
    <row r="90" spans="1:23" x14ac:dyDescent="0.2">
      <c r="A90" t="s">
        <v>111</v>
      </c>
      <c r="B90" t="s">
        <v>158</v>
      </c>
      <c r="C90" t="s">
        <v>159</v>
      </c>
      <c r="D90" t="s">
        <v>159</v>
      </c>
      <c r="E90" t="s">
        <v>159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  <c r="K90" t="s">
        <v>159</v>
      </c>
      <c r="L90" t="s">
        <v>159</v>
      </c>
      <c r="M90" t="s">
        <v>159</v>
      </c>
      <c r="N90" t="s">
        <v>159</v>
      </c>
      <c r="O90" t="s">
        <v>159</v>
      </c>
      <c r="P90" t="s">
        <v>159</v>
      </c>
      <c r="Q90" t="s">
        <v>159</v>
      </c>
      <c r="R90" t="s">
        <v>159</v>
      </c>
      <c r="S90" t="s">
        <v>159</v>
      </c>
      <c r="T90" t="s">
        <v>159</v>
      </c>
      <c r="U90" t="s">
        <v>159</v>
      </c>
      <c r="V90" t="s">
        <v>159</v>
      </c>
      <c r="W90" t="s">
        <v>159</v>
      </c>
    </row>
    <row r="91" spans="1:23" x14ac:dyDescent="0.2">
      <c r="A91" t="s">
        <v>112</v>
      </c>
      <c r="B91" t="s">
        <v>157</v>
      </c>
      <c r="C91">
        <v>135.84874248504639</v>
      </c>
      <c r="D91">
        <v>1225</v>
      </c>
      <c r="E91">
        <v>1067</v>
      </c>
      <c r="F91">
        <v>9</v>
      </c>
      <c r="G91">
        <v>9</v>
      </c>
      <c r="H91">
        <v>58996447832941.812</v>
      </c>
      <c r="I91">
        <v>1.05521472392638</v>
      </c>
      <c r="J91">
        <v>1.6699029126213589</v>
      </c>
      <c r="K91">
        <v>1.5825242718446599</v>
      </c>
      <c r="L91">
        <v>11.444444444444439</v>
      </c>
      <c r="M91">
        <v>1212982689600000</v>
      </c>
      <c r="N91">
        <v>2</v>
      </c>
      <c r="O91">
        <v>3</v>
      </c>
      <c r="P91">
        <v>163</v>
      </c>
      <c r="Q91">
        <v>103</v>
      </c>
      <c r="R91">
        <v>9</v>
      </c>
      <c r="S91">
        <v>18</v>
      </c>
      <c r="T91">
        <v>1682</v>
      </c>
      <c r="U91">
        <v>143</v>
      </c>
      <c r="V91">
        <v>6076634126793007</v>
      </c>
      <c r="W91">
        <v>172</v>
      </c>
    </row>
    <row r="92" spans="1:23" x14ac:dyDescent="0.2">
      <c r="A92" t="s">
        <v>113</v>
      </c>
      <c r="B92" t="s">
        <v>157</v>
      </c>
      <c r="C92">
        <v>2.013707160949707E-2</v>
      </c>
      <c r="D92">
        <v>18</v>
      </c>
      <c r="E92">
        <v>3</v>
      </c>
      <c r="F92">
        <v>4</v>
      </c>
      <c r="G92">
        <v>4</v>
      </c>
      <c r="H92">
        <v>0.94117647058823528</v>
      </c>
      <c r="I92">
        <v>1.470588235294118</v>
      </c>
      <c r="J92">
        <v>1.470588235294118</v>
      </c>
      <c r="K92">
        <v>1</v>
      </c>
      <c r="L92">
        <v>4.25</v>
      </c>
      <c r="M92">
        <v>3</v>
      </c>
      <c r="N92">
        <v>3</v>
      </c>
      <c r="O92">
        <v>2</v>
      </c>
      <c r="P92">
        <v>17</v>
      </c>
      <c r="Q92">
        <v>17</v>
      </c>
      <c r="R92">
        <v>4</v>
      </c>
      <c r="S92">
        <v>8</v>
      </c>
      <c r="T92">
        <v>111</v>
      </c>
      <c r="U92">
        <v>22</v>
      </c>
      <c r="V92">
        <v>16</v>
      </c>
      <c r="W92">
        <v>25</v>
      </c>
    </row>
    <row r="93" spans="1:23" x14ac:dyDescent="0.2">
      <c r="A93" t="s">
        <v>114</v>
      </c>
      <c r="B93" t="s">
        <v>157</v>
      </c>
      <c r="C93">
        <v>1.2127366065978999</v>
      </c>
      <c r="D93">
        <v>4</v>
      </c>
      <c r="E93">
        <v>117</v>
      </c>
      <c r="F93">
        <v>3</v>
      </c>
      <c r="G93">
        <v>2</v>
      </c>
      <c r="H93">
        <v>2054</v>
      </c>
      <c r="I93">
        <v>5.8636363636363633</v>
      </c>
      <c r="J93">
        <v>5.8636363636363633</v>
      </c>
      <c r="K93">
        <v>1</v>
      </c>
      <c r="L93">
        <v>11</v>
      </c>
      <c r="M93">
        <v>8085</v>
      </c>
      <c r="N93">
        <v>11</v>
      </c>
      <c r="O93">
        <v>1</v>
      </c>
      <c r="P93">
        <v>22</v>
      </c>
      <c r="Q93">
        <v>22</v>
      </c>
      <c r="R93">
        <v>2</v>
      </c>
      <c r="S93">
        <v>13</v>
      </c>
      <c r="T93">
        <v>157</v>
      </c>
      <c r="U93">
        <v>4</v>
      </c>
      <c r="V93">
        <v>45188</v>
      </c>
      <c r="W93">
        <v>129</v>
      </c>
    </row>
    <row r="94" spans="1:23" x14ac:dyDescent="0.2">
      <c r="A94" t="s">
        <v>115</v>
      </c>
      <c r="B94" t="s">
        <v>158</v>
      </c>
      <c r="C94" t="s">
        <v>159</v>
      </c>
      <c r="D94" t="s">
        <v>159</v>
      </c>
      <c r="E94" t="s">
        <v>159</v>
      </c>
      <c r="F94" t="s">
        <v>159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 t="s">
        <v>159</v>
      </c>
      <c r="O94" t="s">
        <v>159</v>
      </c>
      <c r="P94" t="s">
        <v>159</v>
      </c>
      <c r="Q94" t="s">
        <v>159</v>
      </c>
      <c r="R94" t="s">
        <v>159</v>
      </c>
      <c r="S94" t="s">
        <v>159</v>
      </c>
      <c r="T94" t="s">
        <v>159</v>
      </c>
      <c r="U94" t="s">
        <v>159</v>
      </c>
      <c r="V94" t="s">
        <v>159</v>
      </c>
      <c r="W94" t="s">
        <v>159</v>
      </c>
    </row>
    <row r="95" spans="1:23" x14ac:dyDescent="0.2">
      <c r="A95" t="s">
        <v>116</v>
      </c>
      <c r="B95" t="s">
        <v>157</v>
      </c>
      <c r="C95">
        <v>5.8773384094238281</v>
      </c>
      <c r="D95">
        <v>275</v>
      </c>
      <c r="E95">
        <v>381</v>
      </c>
      <c r="F95">
        <v>8</v>
      </c>
      <c r="G95">
        <v>8</v>
      </c>
      <c r="H95">
        <v>51.627450980392148</v>
      </c>
      <c r="I95">
        <v>1.053191489361702</v>
      </c>
      <c r="J95">
        <v>1.9411764705882351</v>
      </c>
      <c r="K95">
        <v>1.8431372549019609</v>
      </c>
      <c r="L95">
        <v>6.375</v>
      </c>
      <c r="M95">
        <v>284</v>
      </c>
      <c r="N95">
        <v>2</v>
      </c>
      <c r="O95">
        <v>3</v>
      </c>
      <c r="P95">
        <v>94</v>
      </c>
      <c r="Q95">
        <v>51</v>
      </c>
      <c r="R95">
        <v>8</v>
      </c>
      <c r="S95">
        <v>9</v>
      </c>
      <c r="T95">
        <v>360</v>
      </c>
      <c r="U95">
        <v>54</v>
      </c>
      <c r="V95">
        <v>2633</v>
      </c>
      <c r="W95">
        <v>99</v>
      </c>
    </row>
    <row r="96" spans="1:23" x14ac:dyDescent="0.2">
      <c r="A96" t="s">
        <v>117</v>
      </c>
      <c r="B96" t="s">
        <v>158</v>
      </c>
      <c r="C96" t="s">
        <v>159</v>
      </c>
      <c r="D96" t="s">
        <v>159</v>
      </c>
      <c r="E96" t="s">
        <v>159</v>
      </c>
      <c r="F96" t="s">
        <v>159</v>
      </c>
      <c r="G96" t="s">
        <v>159</v>
      </c>
      <c r="H96" t="s">
        <v>159</v>
      </c>
      <c r="I96" t="s">
        <v>159</v>
      </c>
      <c r="J96" t="s">
        <v>159</v>
      </c>
      <c r="K96" t="s">
        <v>159</v>
      </c>
      <c r="L96" t="s">
        <v>159</v>
      </c>
      <c r="M96" t="s">
        <v>159</v>
      </c>
      <c r="N96" t="s">
        <v>159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23" x14ac:dyDescent="0.2">
      <c r="A97" t="s">
        <v>118</v>
      </c>
      <c r="B97" t="s">
        <v>157</v>
      </c>
      <c r="C97">
        <v>6.2061581611633301</v>
      </c>
      <c r="D97">
        <v>659</v>
      </c>
      <c r="E97">
        <v>1262</v>
      </c>
      <c r="F97">
        <v>8</v>
      </c>
      <c r="G97">
        <v>8</v>
      </c>
      <c r="H97">
        <v>0.65116279069767447</v>
      </c>
      <c r="I97">
        <v>1</v>
      </c>
      <c r="J97">
        <v>1.4651162790697669</v>
      </c>
      <c r="K97">
        <v>1.4651162790697669</v>
      </c>
      <c r="L97">
        <v>5.375</v>
      </c>
      <c r="M97">
        <v>7</v>
      </c>
      <c r="N97">
        <v>1</v>
      </c>
      <c r="O97">
        <v>2</v>
      </c>
      <c r="P97">
        <v>63</v>
      </c>
      <c r="Q97">
        <v>43</v>
      </c>
      <c r="R97">
        <v>8</v>
      </c>
      <c r="S97">
        <v>8</v>
      </c>
      <c r="T97">
        <v>281</v>
      </c>
      <c r="U97">
        <v>50</v>
      </c>
      <c r="V97">
        <v>28</v>
      </c>
      <c r="W97">
        <v>63</v>
      </c>
    </row>
    <row r="98" spans="1:23" x14ac:dyDescent="0.2">
      <c r="A98" t="s">
        <v>119</v>
      </c>
      <c r="B98" t="s">
        <v>157</v>
      </c>
      <c r="C98">
        <v>9.0794563293457031E-3</v>
      </c>
      <c r="D98">
        <v>1</v>
      </c>
      <c r="E98">
        <v>15</v>
      </c>
      <c r="F98">
        <v>5</v>
      </c>
      <c r="G98">
        <v>8</v>
      </c>
      <c r="H98">
        <v>0.32075471698113212</v>
      </c>
      <c r="I98">
        <v>2.0299401197604792</v>
      </c>
      <c r="J98">
        <v>6.3962264150943398</v>
      </c>
      <c r="K98">
        <v>3.1509433962264151</v>
      </c>
      <c r="L98">
        <v>6.625</v>
      </c>
      <c r="M98">
        <v>5</v>
      </c>
      <c r="N98">
        <v>6</v>
      </c>
      <c r="O98">
        <v>5</v>
      </c>
      <c r="P98">
        <v>167</v>
      </c>
      <c r="Q98">
        <v>53</v>
      </c>
      <c r="R98">
        <v>8</v>
      </c>
      <c r="S98">
        <v>29</v>
      </c>
      <c r="T98">
        <v>1198</v>
      </c>
      <c r="U98">
        <v>182</v>
      </c>
      <c r="V98">
        <v>17</v>
      </c>
      <c r="W98">
        <v>339</v>
      </c>
    </row>
    <row r="99" spans="1:23" x14ac:dyDescent="0.2">
      <c r="A99" t="s">
        <v>120</v>
      </c>
      <c r="B99" t="s">
        <v>157</v>
      </c>
      <c r="C99">
        <v>9.1876983642578125E-3</v>
      </c>
      <c r="D99">
        <v>10</v>
      </c>
      <c r="E99">
        <v>0</v>
      </c>
      <c r="F99">
        <v>5</v>
      </c>
      <c r="G99">
        <v>5</v>
      </c>
      <c r="H99">
        <v>1</v>
      </c>
      <c r="I99">
        <v>1.666666666666667</v>
      </c>
      <c r="J99">
        <v>3.125</v>
      </c>
      <c r="K99">
        <v>1.875</v>
      </c>
      <c r="L99">
        <v>8</v>
      </c>
      <c r="M99">
        <v>5</v>
      </c>
      <c r="N99">
        <v>2</v>
      </c>
      <c r="O99">
        <v>5</v>
      </c>
      <c r="P99">
        <v>75</v>
      </c>
      <c r="Q99">
        <v>40</v>
      </c>
      <c r="R99">
        <v>5</v>
      </c>
      <c r="S99">
        <v>10</v>
      </c>
      <c r="T99">
        <v>275</v>
      </c>
      <c r="U99">
        <v>0</v>
      </c>
      <c r="V99">
        <v>40</v>
      </c>
      <c r="W99">
        <v>125</v>
      </c>
    </row>
    <row r="100" spans="1:23" x14ac:dyDescent="0.2">
      <c r="A100" t="s">
        <v>121</v>
      </c>
      <c r="B100" t="s">
        <v>157</v>
      </c>
      <c r="C100">
        <v>4.715275764465332E-2</v>
      </c>
      <c r="D100">
        <v>27</v>
      </c>
      <c r="E100">
        <v>17</v>
      </c>
      <c r="F100">
        <v>4</v>
      </c>
      <c r="G100">
        <v>4</v>
      </c>
      <c r="H100">
        <v>0.25</v>
      </c>
      <c r="I100">
        <v>1</v>
      </c>
      <c r="J100">
        <v>1.25</v>
      </c>
      <c r="K100">
        <v>1.25</v>
      </c>
      <c r="L100">
        <v>4</v>
      </c>
      <c r="M100">
        <v>1</v>
      </c>
      <c r="N100">
        <v>1</v>
      </c>
      <c r="O100">
        <v>2</v>
      </c>
      <c r="P100">
        <v>20</v>
      </c>
      <c r="Q100">
        <v>16</v>
      </c>
      <c r="R100">
        <v>4</v>
      </c>
      <c r="S100">
        <v>4</v>
      </c>
      <c r="T100">
        <v>44</v>
      </c>
      <c r="U100">
        <v>8</v>
      </c>
      <c r="V100">
        <v>4</v>
      </c>
      <c r="W100">
        <v>20</v>
      </c>
    </row>
    <row r="101" spans="1:23" x14ac:dyDescent="0.2">
      <c r="A101" t="s">
        <v>122</v>
      </c>
      <c r="B101" t="s">
        <v>157</v>
      </c>
      <c r="C101">
        <v>32.559746742248542</v>
      </c>
      <c r="D101">
        <v>568</v>
      </c>
      <c r="E101">
        <v>1331</v>
      </c>
      <c r="F101">
        <v>8</v>
      </c>
      <c r="G101">
        <v>8</v>
      </c>
      <c r="H101">
        <v>12.08333333333333</v>
      </c>
      <c r="I101">
        <v>1.590361445783133</v>
      </c>
      <c r="J101">
        <v>2.2000000000000002</v>
      </c>
      <c r="K101">
        <v>1.3833333333333331</v>
      </c>
      <c r="L101">
        <v>7.5</v>
      </c>
      <c r="M101">
        <v>332</v>
      </c>
      <c r="N101">
        <v>4</v>
      </c>
      <c r="O101">
        <v>4</v>
      </c>
      <c r="P101">
        <v>83</v>
      </c>
      <c r="Q101">
        <v>60</v>
      </c>
      <c r="R101">
        <v>8</v>
      </c>
      <c r="S101">
        <v>14</v>
      </c>
      <c r="T101">
        <v>708</v>
      </c>
      <c r="U101">
        <v>87</v>
      </c>
      <c r="V101">
        <v>725</v>
      </c>
      <c r="W101">
        <v>132</v>
      </c>
    </row>
    <row r="102" spans="1:23" x14ac:dyDescent="0.2">
      <c r="A102" t="s">
        <v>123</v>
      </c>
      <c r="B102" t="s">
        <v>158</v>
      </c>
      <c r="C102" t="s">
        <v>159</v>
      </c>
      <c r="D102" t="s">
        <v>159</v>
      </c>
      <c r="E102" t="s">
        <v>159</v>
      </c>
      <c r="F102" t="s">
        <v>159</v>
      </c>
      <c r="G102" t="s">
        <v>159</v>
      </c>
      <c r="H102" t="s">
        <v>159</v>
      </c>
      <c r="I102" t="s">
        <v>159</v>
      </c>
      <c r="J102" t="s">
        <v>159</v>
      </c>
      <c r="K102" t="s">
        <v>159</v>
      </c>
      <c r="L102" t="s">
        <v>159</v>
      </c>
      <c r="M102" t="s">
        <v>159</v>
      </c>
      <c r="N102" t="s">
        <v>159</v>
      </c>
      <c r="O102" t="s">
        <v>159</v>
      </c>
      <c r="P102" t="s">
        <v>159</v>
      </c>
      <c r="Q102" t="s">
        <v>159</v>
      </c>
      <c r="R102" t="s">
        <v>159</v>
      </c>
      <c r="S102" t="s">
        <v>159</v>
      </c>
      <c r="T102" t="s">
        <v>159</v>
      </c>
      <c r="U102" t="s">
        <v>159</v>
      </c>
      <c r="V102" t="s">
        <v>159</v>
      </c>
      <c r="W102" t="s">
        <v>159</v>
      </c>
    </row>
    <row r="103" spans="1:23" x14ac:dyDescent="0.2">
      <c r="A103" t="s">
        <v>124</v>
      </c>
      <c r="B103" t="s">
        <v>157</v>
      </c>
      <c r="C103">
        <v>518.70079445838928</v>
      </c>
      <c r="D103">
        <v>2237</v>
      </c>
      <c r="E103">
        <v>7416</v>
      </c>
      <c r="F103">
        <v>9</v>
      </c>
      <c r="G103">
        <v>9</v>
      </c>
      <c r="H103">
        <v>1.6351351351351351</v>
      </c>
      <c r="I103">
        <v>1.1025641025641031</v>
      </c>
      <c r="J103">
        <v>1.743243243243243</v>
      </c>
      <c r="K103">
        <v>1.5810810810810809</v>
      </c>
      <c r="L103">
        <v>8.2222222222222214</v>
      </c>
      <c r="M103">
        <v>2</v>
      </c>
      <c r="N103">
        <v>2</v>
      </c>
      <c r="O103">
        <v>2</v>
      </c>
      <c r="P103">
        <v>117</v>
      </c>
      <c r="Q103">
        <v>74</v>
      </c>
      <c r="R103">
        <v>9</v>
      </c>
      <c r="S103">
        <v>18</v>
      </c>
      <c r="T103">
        <v>1203</v>
      </c>
      <c r="U103">
        <v>145</v>
      </c>
      <c r="V103">
        <v>121</v>
      </c>
      <c r="W103">
        <v>129</v>
      </c>
    </row>
    <row r="104" spans="1:23" x14ac:dyDescent="0.2">
      <c r="A104" t="s">
        <v>125</v>
      </c>
      <c r="B104" t="s">
        <v>157</v>
      </c>
      <c r="C104">
        <v>0.69060969352722168</v>
      </c>
      <c r="D104">
        <v>36</v>
      </c>
      <c r="E104">
        <v>68</v>
      </c>
      <c r="F104">
        <v>4</v>
      </c>
      <c r="G104">
        <v>4</v>
      </c>
      <c r="H104">
        <v>3.6419753086419751</v>
      </c>
      <c r="I104">
        <v>1.386554621848739</v>
      </c>
      <c r="J104">
        <v>2.0370370370370372</v>
      </c>
      <c r="K104">
        <v>1.4691358024691361</v>
      </c>
      <c r="L104">
        <v>20.25</v>
      </c>
      <c r="M104">
        <v>35</v>
      </c>
      <c r="N104">
        <v>3</v>
      </c>
      <c r="O104">
        <v>3</v>
      </c>
      <c r="P104">
        <v>119</v>
      </c>
      <c r="Q104">
        <v>81</v>
      </c>
      <c r="R104">
        <v>4</v>
      </c>
      <c r="S104">
        <v>12</v>
      </c>
      <c r="T104">
        <v>807</v>
      </c>
      <c r="U104">
        <v>38</v>
      </c>
      <c r="V104">
        <v>295</v>
      </c>
      <c r="W104">
        <v>165</v>
      </c>
    </row>
    <row r="105" spans="1:23" x14ac:dyDescent="0.2">
      <c r="A105" t="s">
        <v>126</v>
      </c>
      <c r="B105" t="s">
        <v>157</v>
      </c>
      <c r="C105">
        <v>11.702724456787109</v>
      </c>
      <c r="D105">
        <v>413</v>
      </c>
      <c r="E105">
        <v>393</v>
      </c>
      <c r="F105">
        <v>9</v>
      </c>
      <c r="G105">
        <v>9</v>
      </c>
      <c r="H105">
        <v>9.6393442622950811</v>
      </c>
      <c r="I105">
        <v>1.1475409836065571</v>
      </c>
      <c r="J105">
        <v>1.1475409836065571</v>
      </c>
      <c r="K105">
        <v>1</v>
      </c>
      <c r="L105">
        <v>6.7777777777777777</v>
      </c>
      <c r="M105">
        <v>100</v>
      </c>
      <c r="N105">
        <v>2</v>
      </c>
      <c r="O105">
        <v>2</v>
      </c>
      <c r="P105">
        <v>61</v>
      </c>
      <c r="Q105">
        <v>61</v>
      </c>
      <c r="R105">
        <v>9</v>
      </c>
      <c r="S105">
        <v>18</v>
      </c>
      <c r="T105">
        <v>1028</v>
      </c>
      <c r="U105">
        <v>147</v>
      </c>
      <c r="V105">
        <v>588</v>
      </c>
      <c r="W105">
        <v>70</v>
      </c>
    </row>
    <row r="106" spans="1:23" x14ac:dyDescent="0.2">
      <c r="A106" t="s">
        <v>127</v>
      </c>
      <c r="B106" t="s">
        <v>157</v>
      </c>
      <c r="C106">
        <v>361.5987982749939</v>
      </c>
      <c r="D106">
        <v>3375</v>
      </c>
      <c r="E106">
        <v>3438</v>
      </c>
      <c r="F106">
        <v>12</v>
      </c>
      <c r="G106">
        <v>12</v>
      </c>
      <c r="H106">
        <v>7.9183673469387754</v>
      </c>
      <c r="I106">
        <v>1</v>
      </c>
      <c r="J106">
        <v>1.6326530612244901</v>
      </c>
      <c r="K106">
        <v>1.6326530612244901</v>
      </c>
      <c r="L106">
        <v>8.1666666666666661</v>
      </c>
      <c r="M106">
        <v>18</v>
      </c>
      <c r="N106">
        <v>1</v>
      </c>
      <c r="O106">
        <v>3</v>
      </c>
      <c r="P106">
        <v>160</v>
      </c>
      <c r="Q106">
        <v>98</v>
      </c>
      <c r="R106">
        <v>12</v>
      </c>
      <c r="S106">
        <v>12</v>
      </c>
      <c r="T106">
        <v>1016</v>
      </c>
      <c r="U106">
        <v>120</v>
      </c>
      <c r="V106">
        <v>776</v>
      </c>
      <c r="W106">
        <v>160</v>
      </c>
    </row>
    <row r="107" spans="1:23" x14ac:dyDescent="0.2">
      <c r="A107" t="s">
        <v>128</v>
      </c>
      <c r="B107" t="s">
        <v>158</v>
      </c>
      <c r="C107" t="s">
        <v>159</v>
      </c>
      <c r="D107" t="s">
        <v>159</v>
      </c>
      <c r="E107" t="s">
        <v>159</v>
      </c>
      <c r="F107" t="s">
        <v>159</v>
      </c>
      <c r="G107" t="s">
        <v>159</v>
      </c>
      <c r="H107" t="s">
        <v>159</v>
      </c>
      <c r="I107" t="s">
        <v>159</v>
      </c>
      <c r="J107" t="s">
        <v>159</v>
      </c>
      <c r="K107" t="s">
        <v>159</v>
      </c>
      <c r="L107" t="s">
        <v>159</v>
      </c>
      <c r="M107" t="s">
        <v>159</v>
      </c>
      <c r="N107" t="s">
        <v>159</v>
      </c>
      <c r="O107" t="s">
        <v>159</v>
      </c>
      <c r="P107" t="s">
        <v>159</v>
      </c>
      <c r="Q107" t="s">
        <v>159</v>
      </c>
      <c r="R107" t="s">
        <v>159</v>
      </c>
      <c r="S107" t="s">
        <v>159</v>
      </c>
      <c r="T107" t="s">
        <v>159</v>
      </c>
      <c r="U107" t="s">
        <v>159</v>
      </c>
      <c r="V107" t="s">
        <v>159</v>
      </c>
      <c r="W107" t="s">
        <v>159</v>
      </c>
    </row>
    <row r="108" spans="1:23" x14ac:dyDescent="0.2">
      <c r="A108" t="s">
        <v>129</v>
      </c>
      <c r="B108" t="s">
        <v>158</v>
      </c>
      <c r="C108" t="s">
        <v>159</v>
      </c>
      <c r="D108" t="s">
        <v>159</v>
      </c>
      <c r="E108" t="s">
        <v>159</v>
      </c>
      <c r="F108" t="s">
        <v>159</v>
      </c>
      <c r="G108" t="s">
        <v>159</v>
      </c>
      <c r="H108" t="s">
        <v>159</v>
      </c>
      <c r="I108" t="s">
        <v>159</v>
      </c>
      <c r="J108" t="s">
        <v>159</v>
      </c>
      <c r="K108" t="s">
        <v>159</v>
      </c>
      <c r="L108" t="s">
        <v>159</v>
      </c>
      <c r="M108" t="s">
        <v>159</v>
      </c>
      <c r="N108" t="s">
        <v>159</v>
      </c>
      <c r="O108" t="s">
        <v>159</v>
      </c>
      <c r="P108" t="s">
        <v>159</v>
      </c>
      <c r="Q108" t="s">
        <v>159</v>
      </c>
      <c r="R108" t="s">
        <v>159</v>
      </c>
      <c r="S108" t="s">
        <v>159</v>
      </c>
      <c r="T108" t="s">
        <v>159</v>
      </c>
      <c r="U108" t="s">
        <v>159</v>
      </c>
      <c r="V108" t="s">
        <v>159</v>
      </c>
      <c r="W108" t="s">
        <v>159</v>
      </c>
    </row>
    <row r="109" spans="1:23" x14ac:dyDescent="0.2">
      <c r="A109" t="s">
        <v>130</v>
      </c>
      <c r="B109" t="s">
        <v>157</v>
      </c>
      <c r="C109">
        <v>6642.0598745346069</v>
      </c>
      <c r="D109">
        <v>1659</v>
      </c>
      <c r="E109">
        <v>12344</v>
      </c>
      <c r="F109">
        <v>7</v>
      </c>
      <c r="G109">
        <v>12</v>
      </c>
      <c r="H109">
        <v>95.65625</v>
      </c>
      <c r="I109">
        <v>1.6106662123019251</v>
      </c>
      <c r="J109">
        <v>4.6889880952380949</v>
      </c>
      <c r="K109">
        <v>2.9112103174603181</v>
      </c>
      <c r="L109">
        <v>168</v>
      </c>
      <c r="M109">
        <v>12995</v>
      </c>
      <c r="N109">
        <v>7</v>
      </c>
      <c r="O109">
        <v>6</v>
      </c>
      <c r="P109">
        <v>5869</v>
      </c>
      <c r="Q109">
        <v>2016</v>
      </c>
      <c r="R109">
        <v>12</v>
      </c>
      <c r="S109">
        <v>28</v>
      </c>
      <c r="T109">
        <v>46995</v>
      </c>
      <c r="U109">
        <v>283</v>
      </c>
      <c r="V109">
        <v>192843</v>
      </c>
      <c r="W109">
        <v>9453</v>
      </c>
    </row>
    <row r="110" spans="1:23" x14ac:dyDescent="0.2">
      <c r="A110" t="s">
        <v>131</v>
      </c>
      <c r="B110" t="s">
        <v>158</v>
      </c>
      <c r="C110" t="s">
        <v>159</v>
      </c>
      <c r="D110" t="s">
        <v>159</v>
      </c>
      <c r="E110" t="s">
        <v>159</v>
      </c>
      <c r="F110" t="s">
        <v>159</v>
      </c>
      <c r="G110" t="s">
        <v>159</v>
      </c>
      <c r="H110" t="s">
        <v>159</v>
      </c>
      <c r="I110" t="s">
        <v>159</v>
      </c>
      <c r="J110" t="s">
        <v>159</v>
      </c>
      <c r="K110" t="s">
        <v>159</v>
      </c>
      <c r="L110" t="s">
        <v>159</v>
      </c>
      <c r="M110" t="s">
        <v>159</v>
      </c>
      <c r="N110" t="s">
        <v>159</v>
      </c>
      <c r="O110" t="s">
        <v>159</v>
      </c>
      <c r="P110" t="s">
        <v>159</v>
      </c>
      <c r="Q110" t="s">
        <v>159</v>
      </c>
      <c r="R110" t="s">
        <v>159</v>
      </c>
      <c r="S110" t="s">
        <v>159</v>
      </c>
      <c r="T110" t="s">
        <v>159</v>
      </c>
      <c r="U110" t="s">
        <v>159</v>
      </c>
      <c r="V110" t="s">
        <v>159</v>
      </c>
      <c r="W110" t="s">
        <v>159</v>
      </c>
    </row>
    <row r="111" spans="1:23" x14ac:dyDescent="0.2">
      <c r="A111" t="s">
        <v>132</v>
      </c>
      <c r="B111" t="s">
        <v>157</v>
      </c>
      <c r="C111">
        <v>7.3291137218475342</v>
      </c>
      <c r="D111">
        <v>67</v>
      </c>
      <c r="E111">
        <v>326</v>
      </c>
      <c r="F111">
        <v>4</v>
      </c>
      <c r="G111">
        <v>4</v>
      </c>
      <c r="H111">
        <v>1.8</v>
      </c>
      <c r="I111">
        <v>3.5</v>
      </c>
      <c r="J111">
        <v>2.8</v>
      </c>
      <c r="K111">
        <v>0.8</v>
      </c>
      <c r="L111">
        <v>5</v>
      </c>
      <c r="M111">
        <v>2</v>
      </c>
      <c r="N111">
        <v>5</v>
      </c>
      <c r="O111">
        <v>1</v>
      </c>
      <c r="P111">
        <v>16</v>
      </c>
      <c r="Q111">
        <v>20</v>
      </c>
      <c r="R111">
        <v>4</v>
      </c>
      <c r="S111">
        <v>20</v>
      </c>
      <c r="T111">
        <v>344</v>
      </c>
      <c r="U111">
        <v>66</v>
      </c>
      <c r="V111">
        <v>36</v>
      </c>
      <c r="W111">
        <v>56</v>
      </c>
    </row>
    <row r="112" spans="1:23" x14ac:dyDescent="0.2">
      <c r="A112" t="s">
        <v>133</v>
      </c>
      <c r="B112" t="s">
        <v>157</v>
      </c>
      <c r="C112">
        <v>3.687181711196899</v>
      </c>
      <c r="D112">
        <v>318</v>
      </c>
      <c r="E112">
        <v>76</v>
      </c>
      <c r="F112">
        <v>9</v>
      </c>
      <c r="G112">
        <v>9</v>
      </c>
      <c r="H112">
        <v>9.6976744186046506</v>
      </c>
      <c r="I112">
        <v>1.671428571428571</v>
      </c>
      <c r="J112">
        <v>2.720930232558139</v>
      </c>
      <c r="K112">
        <v>1.6279069767441861</v>
      </c>
      <c r="L112">
        <v>4.7777777777777777</v>
      </c>
      <c r="M112">
        <v>50</v>
      </c>
      <c r="N112">
        <v>4</v>
      </c>
      <c r="O112">
        <v>3</v>
      </c>
      <c r="P112">
        <v>70</v>
      </c>
      <c r="Q112">
        <v>43</v>
      </c>
      <c r="R112">
        <v>9</v>
      </c>
      <c r="S112">
        <v>24</v>
      </c>
      <c r="T112">
        <v>915</v>
      </c>
      <c r="U112">
        <v>184</v>
      </c>
      <c r="V112">
        <v>417</v>
      </c>
      <c r="W112">
        <v>117</v>
      </c>
    </row>
    <row r="113" spans="1:23" x14ac:dyDescent="0.2">
      <c r="A113" t="s">
        <v>134</v>
      </c>
      <c r="B113" t="s">
        <v>157</v>
      </c>
      <c r="C113">
        <v>0.13330698013305661</v>
      </c>
      <c r="D113">
        <v>65</v>
      </c>
      <c r="E113">
        <v>192</v>
      </c>
      <c r="F113">
        <v>4</v>
      </c>
      <c r="G113">
        <v>4</v>
      </c>
      <c r="H113">
        <v>3.384615384615385</v>
      </c>
      <c r="I113">
        <v>1.3913043478260869</v>
      </c>
      <c r="J113">
        <v>2.4615384615384621</v>
      </c>
      <c r="K113">
        <v>1.7692307692307689</v>
      </c>
      <c r="L113">
        <v>6.5</v>
      </c>
      <c r="M113">
        <v>10</v>
      </c>
      <c r="N113">
        <v>3</v>
      </c>
      <c r="O113">
        <v>3</v>
      </c>
      <c r="P113">
        <v>46</v>
      </c>
      <c r="Q113">
        <v>26</v>
      </c>
      <c r="R113">
        <v>4</v>
      </c>
      <c r="S113">
        <v>12</v>
      </c>
      <c r="T113">
        <v>248</v>
      </c>
      <c r="U113">
        <v>34</v>
      </c>
      <c r="V113">
        <v>88</v>
      </c>
      <c r="W113">
        <v>64</v>
      </c>
    </row>
    <row r="114" spans="1:23" x14ac:dyDescent="0.2">
      <c r="A114" t="s">
        <v>135</v>
      </c>
      <c r="B114" t="s">
        <v>157</v>
      </c>
      <c r="C114">
        <v>2188.861278295517</v>
      </c>
      <c r="D114">
        <v>7171</v>
      </c>
      <c r="E114">
        <v>15963</v>
      </c>
      <c r="F114">
        <v>10</v>
      </c>
      <c r="G114">
        <v>10</v>
      </c>
      <c r="H114">
        <v>0.71875</v>
      </c>
      <c r="I114">
        <v>0.95</v>
      </c>
      <c r="J114">
        <v>2.671875</v>
      </c>
      <c r="K114">
        <v>2.8125</v>
      </c>
      <c r="L114">
        <v>6.4</v>
      </c>
      <c r="M114">
        <v>9</v>
      </c>
      <c r="N114">
        <v>1</v>
      </c>
      <c r="O114">
        <v>4</v>
      </c>
      <c r="P114">
        <v>180</v>
      </c>
      <c r="Q114">
        <v>64</v>
      </c>
      <c r="R114">
        <v>10</v>
      </c>
      <c r="S114">
        <v>10</v>
      </c>
      <c r="T114">
        <v>469</v>
      </c>
      <c r="U114">
        <v>65</v>
      </c>
      <c r="V114">
        <v>46</v>
      </c>
      <c r="W114">
        <v>171</v>
      </c>
    </row>
    <row r="115" spans="1:23" x14ac:dyDescent="0.2">
      <c r="A115" t="s">
        <v>136</v>
      </c>
      <c r="B115" t="s">
        <v>157</v>
      </c>
      <c r="C115">
        <v>4.8931121826171882E-2</v>
      </c>
      <c r="D115">
        <v>9</v>
      </c>
      <c r="E115">
        <v>30</v>
      </c>
      <c r="F115">
        <v>3</v>
      </c>
      <c r="G115">
        <v>3</v>
      </c>
      <c r="H115">
        <v>4</v>
      </c>
      <c r="I115">
        <v>1.666666666666667</v>
      </c>
      <c r="J115">
        <v>2</v>
      </c>
      <c r="K115">
        <v>1.2</v>
      </c>
      <c r="L115">
        <v>5</v>
      </c>
      <c r="M115">
        <v>9</v>
      </c>
      <c r="N115">
        <v>2</v>
      </c>
      <c r="O115">
        <v>2</v>
      </c>
      <c r="P115">
        <v>18</v>
      </c>
      <c r="Q115">
        <v>15</v>
      </c>
      <c r="R115">
        <v>3</v>
      </c>
      <c r="S115">
        <v>6</v>
      </c>
      <c r="T115">
        <v>60</v>
      </c>
      <c r="U115">
        <v>6</v>
      </c>
      <c r="V115">
        <v>60</v>
      </c>
      <c r="W115">
        <v>30</v>
      </c>
    </row>
    <row r="116" spans="1:23" x14ac:dyDescent="0.2">
      <c r="A116" t="s">
        <v>137</v>
      </c>
      <c r="B116" t="s">
        <v>157</v>
      </c>
      <c r="C116">
        <v>3374.6676442623138</v>
      </c>
      <c r="D116">
        <v>14589</v>
      </c>
      <c r="E116">
        <v>13905</v>
      </c>
      <c r="F116">
        <v>14</v>
      </c>
      <c r="G116">
        <v>15</v>
      </c>
      <c r="H116">
        <v>3.1450216450216448</v>
      </c>
      <c r="I116">
        <v>1</v>
      </c>
      <c r="J116">
        <v>2.8138528138528138</v>
      </c>
      <c r="K116">
        <v>2.8138528138528138</v>
      </c>
      <c r="L116">
        <v>30.8</v>
      </c>
      <c r="M116">
        <v>26</v>
      </c>
      <c r="N116">
        <v>1</v>
      </c>
      <c r="O116">
        <v>4</v>
      </c>
      <c r="P116">
        <v>1300</v>
      </c>
      <c r="Q116">
        <v>462</v>
      </c>
      <c r="R116">
        <v>15</v>
      </c>
      <c r="S116">
        <v>14</v>
      </c>
      <c r="T116">
        <v>5168</v>
      </c>
      <c r="U116">
        <v>176</v>
      </c>
      <c r="V116">
        <v>1453</v>
      </c>
      <c r="W116">
        <v>1300</v>
      </c>
    </row>
    <row r="117" spans="1:23" x14ac:dyDescent="0.2">
      <c r="A117" t="s">
        <v>138</v>
      </c>
      <c r="B117" t="s">
        <v>158</v>
      </c>
      <c r="C117" t="s">
        <v>159</v>
      </c>
      <c r="D117" t="s">
        <v>159</v>
      </c>
      <c r="E117" t="s">
        <v>159</v>
      </c>
      <c r="F117" t="s">
        <v>159</v>
      </c>
      <c r="G117" t="s">
        <v>159</v>
      </c>
      <c r="H117" t="s">
        <v>159</v>
      </c>
      <c r="I117" t="s">
        <v>159</v>
      </c>
      <c r="J117" t="s">
        <v>159</v>
      </c>
      <c r="K117" t="s">
        <v>159</v>
      </c>
      <c r="L117" t="s">
        <v>159</v>
      </c>
      <c r="M117" t="s">
        <v>159</v>
      </c>
      <c r="N117" t="s">
        <v>159</v>
      </c>
      <c r="O117" t="s">
        <v>159</v>
      </c>
      <c r="P117" t="s">
        <v>159</v>
      </c>
      <c r="Q117" t="s">
        <v>159</v>
      </c>
      <c r="R117" t="s">
        <v>159</v>
      </c>
      <c r="S117" t="s">
        <v>159</v>
      </c>
      <c r="T117" t="s">
        <v>159</v>
      </c>
      <c r="U117" t="s">
        <v>159</v>
      </c>
      <c r="V117" t="s">
        <v>159</v>
      </c>
      <c r="W117" t="s">
        <v>159</v>
      </c>
    </row>
    <row r="118" spans="1:23" x14ac:dyDescent="0.2">
      <c r="A118" t="s">
        <v>139</v>
      </c>
      <c r="B118" t="s">
        <v>157</v>
      </c>
      <c r="C118">
        <v>22.50072002410889</v>
      </c>
      <c r="D118">
        <v>574</v>
      </c>
      <c r="E118">
        <v>4494</v>
      </c>
      <c r="F118">
        <v>6</v>
      </c>
      <c r="G118">
        <v>6</v>
      </c>
      <c r="H118">
        <v>3.125E-2</v>
      </c>
      <c r="I118">
        <v>1</v>
      </c>
      <c r="J118">
        <v>3</v>
      </c>
      <c r="K118">
        <v>3</v>
      </c>
      <c r="L118">
        <v>5.333333333333333</v>
      </c>
      <c r="M118">
        <v>1</v>
      </c>
      <c r="N118">
        <v>1</v>
      </c>
      <c r="O118">
        <v>6</v>
      </c>
      <c r="P118">
        <v>96</v>
      </c>
      <c r="Q118">
        <v>32</v>
      </c>
      <c r="R118">
        <v>6</v>
      </c>
      <c r="S118">
        <v>6</v>
      </c>
      <c r="T118">
        <v>96</v>
      </c>
      <c r="U118">
        <v>15</v>
      </c>
      <c r="V118">
        <v>1</v>
      </c>
      <c r="W118">
        <v>96</v>
      </c>
    </row>
    <row r="119" spans="1:23" x14ac:dyDescent="0.2">
      <c r="A119" t="s">
        <v>140</v>
      </c>
      <c r="B119" t="s">
        <v>157</v>
      </c>
      <c r="C119">
        <v>6334.5469579696664</v>
      </c>
      <c r="D119">
        <v>10901</v>
      </c>
      <c r="E119">
        <v>222592</v>
      </c>
      <c r="F119">
        <v>15</v>
      </c>
      <c r="G119">
        <v>15</v>
      </c>
      <c r="H119">
        <v>3.1212121212121211</v>
      </c>
      <c r="I119">
        <v>1.015364061456246</v>
      </c>
      <c r="J119">
        <v>3.2900432900432901</v>
      </c>
      <c r="K119">
        <v>3.2402597402597402</v>
      </c>
      <c r="L119">
        <v>30.8</v>
      </c>
      <c r="M119">
        <v>26</v>
      </c>
      <c r="N119">
        <v>3</v>
      </c>
      <c r="O119">
        <v>4</v>
      </c>
      <c r="P119">
        <v>1497</v>
      </c>
      <c r="Q119">
        <v>462</v>
      </c>
      <c r="R119">
        <v>15</v>
      </c>
      <c r="S119">
        <v>17</v>
      </c>
      <c r="T119">
        <v>6334</v>
      </c>
      <c r="U119">
        <v>221</v>
      </c>
      <c r="V119">
        <v>1442</v>
      </c>
      <c r="W119">
        <v>1520</v>
      </c>
    </row>
    <row r="120" spans="1:23" x14ac:dyDescent="0.2">
      <c r="A120" t="s">
        <v>141</v>
      </c>
      <c r="B120" t="s">
        <v>157</v>
      </c>
      <c r="C120">
        <v>1145.5205428600309</v>
      </c>
      <c r="D120">
        <v>2933</v>
      </c>
      <c r="E120">
        <v>6466</v>
      </c>
      <c r="F120">
        <v>13</v>
      </c>
      <c r="G120">
        <v>11</v>
      </c>
      <c r="H120">
        <v>2.7435897435897441</v>
      </c>
      <c r="I120">
        <v>1.1875</v>
      </c>
      <c r="J120">
        <v>1.9487179487179489</v>
      </c>
      <c r="K120">
        <v>1.641025641025641</v>
      </c>
      <c r="L120">
        <v>3.545454545454545</v>
      </c>
      <c r="M120">
        <v>24</v>
      </c>
      <c r="N120">
        <v>3</v>
      </c>
      <c r="O120">
        <v>4</v>
      </c>
      <c r="P120">
        <v>64</v>
      </c>
      <c r="Q120">
        <v>39</v>
      </c>
      <c r="R120">
        <v>11</v>
      </c>
      <c r="S120">
        <v>19</v>
      </c>
      <c r="T120">
        <v>665</v>
      </c>
      <c r="U120">
        <v>181</v>
      </c>
      <c r="V120">
        <v>107</v>
      </c>
      <c r="W120">
        <v>76</v>
      </c>
    </row>
    <row r="121" spans="1:23" x14ac:dyDescent="0.2">
      <c r="A121" t="s">
        <v>142</v>
      </c>
      <c r="B121" t="s">
        <v>157</v>
      </c>
      <c r="C121">
        <v>1009.477729320526</v>
      </c>
      <c r="D121">
        <v>831</v>
      </c>
      <c r="E121">
        <v>5232</v>
      </c>
      <c r="F121">
        <v>6</v>
      </c>
      <c r="G121">
        <v>6</v>
      </c>
      <c r="H121">
        <v>1.857142857142857</v>
      </c>
      <c r="I121">
        <v>4.5</v>
      </c>
      <c r="J121">
        <v>3.8571428571428572</v>
      </c>
      <c r="K121">
        <v>0.8571428571428571</v>
      </c>
      <c r="L121">
        <v>7</v>
      </c>
      <c r="M121">
        <v>2</v>
      </c>
      <c r="N121">
        <v>7</v>
      </c>
      <c r="O121">
        <v>1</v>
      </c>
      <c r="P121">
        <v>36</v>
      </c>
      <c r="Q121">
        <v>42</v>
      </c>
      <c r="R121">
        <v>6</v>
      </c>
      <c r="S121">
        <v>42</v>
      </c>
      <c r="T121">
        <v>1602</v>
      </c>
      <c r="U121">
        <v>225</v>
      </c>
      <c r="V121">
        <v>78</v>
      </c>
      <c r="W121">
        <v>162</v>
      </c>
    </row>
    <row r="122" spans="1:23" x14ac:dyDescent="0.2">
      <c r="A122" t="s">
        <v>143</v>
      </c>
      <c r="B122" t="s">
        <v>157</v>
      </c>
      <c r="C122">
        <v>0.37277913093566889</v>
      </c>
      <c r="D122">
        <v>12</v>
      </c>
      <c r="E122">
        <v>112</v>
      </c>
      <c r="F122">
        <v>3</v>
      </c>
      <c r="G122">
        <v>3</v>
      </c>
      <c r="H122">
        <v>15832048.344827591</v>
      </c>
      <c r="I122">
        <v>2.396551724137931</v>
      </c>
      <c r="J122">
        <v>4.7931034482758621</v>
      </c>
      <c r="K122">
        <v>2</v>
      </c>
      <c r="L122">
        <v>9.6666666666666661</v>
      </c>
      <c r="M122">
        <v>94080000</v>
      </c>
      <c r="N122">
        <v>6</v>
      </c>
      <c r="O122">
        <v>3</v>
      </c>
      <c r="P122">
        <v>58</v>
      </c>
      <c r="Q122">
        <v>29</v>
      </c>
      <c r="R122">
        <v>3</v>
      </c>
      <c r="S122">
        <v>14</v>
      </c>
      <c r="T122">
        <v>267</v>
      </c>
      <c r="U122">
        <v>23</v>
      </c>
      <c r="V122">
        <v>459129402</v>
      </c>
      <c r="W122">
        <v>139</v>
      </c>
    </row>
    <row r="123" spans="1:23" x14ac:dyDescent="0.2">
      <c r="A123" t="s">
        <v>144</v>
      </c>
      <c r="B123" t="s">
        <v>158</v>
      </c>
      <c r="C123" t="s">
        <v>159</v>
      </c>
      <c r="D123" t="s">
        <v>159</v>
      </c>
      <c r="E123" t="s">
        <v>159</v>
      </c>
      <c r="F123" t="s">
        <v>159</v>
      </c>
      <c r="G123" t="s">
        <v>159</v>
      </c>
      <c r="H123" t="s">
        <v>159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  <c r="O123" t="s">
        <v>159</v>
      </c>
      <c r="P123" t="s">
        <v>159</v>
      </c>
      <c r="Q123" t="s">
        <v>159</v>
      </c>
      <c r="R123" t="s">
        <v>159</v>
      </c>
      <c r="S123" t="s">
        <v>159</v>
      </c>
      <c r="T123" t="s">
        <v>159</v>
      </c>
      <c r="U123" t="s">
        <v>159</v>
      </c>
      <c r="V123" t="s">
        <v>159</v>
      </c>
      <c r="W123" t="s">
        <v>159</v>
      </c>
    </row>
    <row r="124" spans="1:23" x14ac:dyDescent="0.2">
      <c r="A124" t="s">
        <v>145</v>
      </c>
      <c r="B124" t="s">
        <v>157</v>
      </c>
      <c r="C124">
        <v>3275.6202714443211</v>
      </c>
      <c r="D124">
        <v>13858</v>
      </c>
      <c r="E124">
        <v>54736</v>
      </c>
      <c r="F124">
        <v>8</v>
      </c>
      <c r="G124">
        <v>11</v>
      </c>
      <c r="H124">
        <v>24.973451327433629</v>
      </c>
      <c r="I124">
        <v>1.8048780487804881</v>
      </c>
      <c r="J124">
        <v>3.9292035398230092</v>
      </c>
      <c r="K124">
        <v>2.1769911504424782</v>
      </c>
      <c r="L124">
        <v>10.27272727272727</v>
      </c>
      <c r="M124">
        <v>256</v>
      </c>
      <c r="N124">
        <v>6</v>
      </c>
      <c r="O124">
        <v>4</v>
      </c>
      <c r="P124">
        <v>246</v>
      </c>
      <c r="Q124">
        <v>113</v>
      </c>
      <c r="R124">
        <v>11</v>
      </c>
      <c r="S124">
        <v>32</v>
      </c>
      <c r="T124">
        <v>3172</v>
      </c>
      <c r="U124">
        <v>311</v>
      </c>
      <c r="V124">
        <v>2822</v>
      </c>
      <c r="W124">
        <v>444</v>
      </c>
    </row>
    <row r="125" spans="1:23" x14ac:dyDescent="0.2">
      <c r="A125" t="s">
        <v>146</v>
      </c>
      <c r="B125" t="s">
        <v>157</v>
      </c>
      <c r="C125">
        <v>10.46259665489197</v>
      </c>
      <c r="D125">
        <v>104</v>
      </c>
      <c r="E125">
        <v>1938</v>
      </c>
      <c r="F125">
        <v>6</v>
      </c>
      <c r="G125">
        <v>4</v>
      </c>
      <c r="H125">
        <v>9.5</v>
      </c>
      <c r="I125">
        <v>1.1379310344827589</v>
      </c>
      <c r="J125">
        <v>4.125</v>
      </c>
      <c r="K125">
        <v>3.625</v>
      </c>
      <c r="L125">
        <v>24</v>
      </c>
      <c r="M125">
        <v>24</v>
      </c>
      <c r="N125">
        <v>2</v>
      </c>
      <c r="O125">
        <v>6</v>
      </c>
      <c r="P125">
        <v>348</v>
      </c>
      <c r="Q125">
        <v>96</v>
      </c>
      <c r="R125">
        <v>4</v>
      </c>
      <c r="S125">
        <v>10</v>
      </c>
      <c r="T125">
        <v>564</v>
      </c>
      <c r="U125">
        <v>16</v>
      </c>
      <c r="V125">
        <v>912</v>
      </c>
      <c r="W125">
        <v>396</v>
      </c>
    </row>
    <row r="126" spans="1:23" x14ac:dyDescent="0.2">
      <c r="A126" t="s">
        <v>147</v>
      </c>
      <c r="B126" t="s">
        <v>157</v>
      </c>
      <c r="C126">
        <v>2.662420272827148E-3</v>
      </c>
      <c r="D126">
        <v>8</v>
      </c>
      <c r="E126">
        <v>0</v>
      </c>
      <c r="F126">
        <v>5</v>
      </c>
      <c r="G126">
        <v>4</v>
      </c>
      <c r="H126">
        <v>0.9</v>
      </c>
      <c r="I126">
        <v>1.428571428571429</v>
      </c>
      <c r="J126">
        <v>2</v>
      </c>
      <c r="K126">
        <v>1.4</v>
      </c>
      <c r="L126">
        <v>2.5</v>
      </c>
      <c r="M126">
        <v>3</v>
      </c>
      <c r="N126">
        <v>3</v>
      </c>
      <c r="O126">
        <v>2</v>
      </c>
      <c r="P126">
        <v>14</v>
      </c>
      <c r="Q126">
        <v>10</v>
      </c>
      <c r="R126">
        <v>4</v>
      </c>
      <c r="S126">
        <v>8</v>
      </c>
      <c r="T126">
        <v>60</v>
      </c>
      <c r="U126">
        <v>22</v>
      </c>
      <c r="V126">
        <v>9</v>
      </c>
      <c r="W126">
        <v>20</v>
      </c>
    </row>
    <row r="127" spans="1:23" x14ac:dyDescent="0.2">
      <c r="A127" t="s">
        <v>148</v>
      </c>
      <c r="B127" t="s">
        <v>157</v>
      </c>
      <c r="C127">
        <v>204.97261500358579</v>
      </c>
      <c r="D127">
        <v>1432</v>
      </c>
      <c r="E127">
        <v>16326</v>
      </c>
      <c r="F127">
        <v>6</v>
      </c>
      <c r="G127">
        <v>6</v>
      </c>
      <c r="H127">
        <v>10.142857142857141</v>
      </c>
      <c r="I127">
        <v>1.454545454545455</v>
      </c>
      <c r="J127">
        <v>2.285714285714286</v>
      </c>
      <c r="K127">
        <v>1.571428571428571</v>
      </c>
      <c r="L127">
        <v>7</v>
      </c>
      <c r="M127">
        <v>11</v>
      </c>
      <c r="N127">
        <v>2</v>
      </c>
      <c r="O127">
        <v>2</v>
      </c>
      <c r="P127">
        <v>66</v>
      </c>
      <c r="Q127">
        <v>42</v>
      </c>
      <c r="R127">
        <v>6</v>
      </c>
      <c r="S127">
        <v>12</v>
      </c>
      <c r="T127">
        <v>408</v>
      </c>
      <c r="U127">
        <v>54</v>
      </c>
      <c r="V127">
        <v>426</v>
      </c>
      <c r="W127">
        <v>96</v>
      </c>
    </row>
    <row r="128" spans="1:23" x14ac:dyDescent="0.2">
      <c r="A128" t="s">
        <v>149</v>
      </c>
      <c r="B128" t="s">
        <v>157</v>
      </c>
      <c r="C128">
        <v>158.46337032318121</v>
      </c>
      <c r="D128">
        <v>1218</v>
      </c>
      <c r="E128">
        <v>1073</v>
      </c>
      <c r="F128">
        <v>9</v>
      </c>
      <c r="G128">
        <v>9</v>
      </c>
      <c r="H128">
        <v>58996447832941.812</v>
      </c>
      <c r="I128">
        <v>1.05521472392638</v>
      </c>
      <c r="J128">
        <v>1.6699029126213589</v>
      </c>
      <c r="K128">
        <v>1.5825242718446599</v>
      </c>
      <c r="L128">
        <v>11.444444444444439</v>
      </c>
      <c r="M128">
        <v>1212982689600000</v>
      </c>
      <c r="N128">
        <v>2</v>
      </c>
      <c r="O128">
        <v>3</v>
      </c>
      <c r="P128">
        <v>163</v>
      </c>
      <c r="Q128">
        <v>103</v>
      </c>
      <c r="R128">
        <v>9</v>
      </c>
      <c r="S128">
        <v>18</v>
      </c>
      <c r="T128">
        <v>1682</v>
      </c>
      <c r="U128">
        <v>143</v>
      </c>
      <c r="V128">
        <v>6076634126793007</v>
      </c>
      <c r="W128">
        <v>172</v>
      </c>
    </row>
    <row r="129" spans="1:23" x14ac:dyDescent="0.2">
      <c r="A129" t="s">
        <v>150</v>
      </c>
      <c r="B129" t="s">
        <v>157</v>
      </c>
      <c r="C129">
        <v>707.14669466018677</v>
      </c>
      <c r="D129">
        <v>2210</v>
      </c>
      <c r="E129">
        <v>3911</v>
      </c>
      <c r="F129">
        <v>11</v>
      </c>
      <c r="G129">
        <v>11</v>
      </c>
      <c r="H129">
        <v>3.333333333333333</v>
      </c>
      <c r="I129">
        <v>1.2325581395348839</v>
      </c>
      <c r="J129">
        <v>1.2619047619047621</v>
      </c>
      <c r="K129">
        <v>1.0238095238095239</v>
      </c>
      <c r="L129">
        <v>3.8181818181818179</v>
      </c>
      <c r="M129">
        <v>9</v>
      </c>
      <c r="N129">
        <v>2</v>
      </c>
      <c r="O129">
        <v>3</v>
      </c>
      <c r="P129">
        <v>43</v>
      </c>
      <c r="Q129">
        <v>42</v>
      </c>
      <c r="R129">
        <v>11</v>
      </c>
      <c r="S129">
        <v>21</v>
      </c>
      <c r="T129">
        <v>829</v>
      </c>
      <c r="U129">
        <v>211</v>
      </c>
      <c r="V129">
        <v>140</v>
      </c>
      <c r="W129">
        <v>53</v>
      </c>
    </row>
    <row r="130" spans="1:23" x14ac:dyDescent="0.2">
      <c r="A130" t="s">
        <v>151</v>
      </c>
      <c r="B130" t="s">
        <v>157</v>
      </c>
      <c r="C130">
        <v>0.1488652229309082</v>
      </c>
      <c r="D130">
        <v>108</v>
      </c>
      <c r="E130">
        <v>27</v>
      </c>
      <c r="F130">
        <v>6</v>
      </c>
      <c r="G130">
        <v>6</v>
      </c>
      <c r="H130">
        <v>4.8888888888888893</v>
      </c>
      <c r="I130">
        <v>1.666666666666667</v>
      </c>
      <c r="J130">
        <v>2.2222222222222219</v>
      </c>
      <c r="K130">
        <v>1.333333333333333</v>
      </c>
      <c r="L130">
        <v>3</v>
      </c>
      <c r="M130">
        <v>10</v>
      </c>
      <c r="N130">
        <v>3</v>
      </c>
      <c r="O130">
        <v>3</v>
      </c>
      <c r="P130">
        <v>24</v>
      </c>
      <c r="Q130">
        <v>18</v>
      </c>
      <c r="R130">
        <v>6</v>
      </c>
      <c r="S130">
        <v>14</v>
      </c>
      <c r="T130">
        <v>212</v>
      </c>
      <c r="U130">
        <v>64</v>
      </c>
      <c r="V130">
        <v>88</v>
      </c>
      <c r="W130">
        <v>40</v>
      </c>
    </row>
    <row r="131" spans="1:23" x14ac:dyDescent="0.2">
      <c r="A131" t="s">
        <v>152</v>
      </c>
      <c r="B131" t="s">
        <v>158</v>
      </c>
      <c r="C131" t="s">
        <v>159</v>
      </c>
      <c r="D131" t="s">
        <v>159</v>
      </c>
      <c r="E131" t="s">
        <v>159</v>
      </c>
      <c r="F131" t="s">
        <v>159</v>
      </c>
      <c r="G131" t="s">
        <v>159</v>
      </c>
      <c r="H131" t="s">
        <v>159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  <c r="O131" t="s">
        <v>159</v>
      </c>
      <c r="P131" t="s">
        <v>159</v>
      </c>
      <c r="Q131" t="s">
        <v>159</v>
      </c>
      <c r="R131" t="s">
        <v>159</v>
      </c>
      <c r="S131" t="s">
        <v>159</v>
      </c>
      <c r="T131" t="s">
        <v>159</v>
      </c>
      <c r="U131" t="s">
        <v>159</v>
      </c>
      <c r="V131" t="s">
        <v>159</v>
      </c>
      <c r="W131" t="s">
        <v>159</v>
      </c>
    </row>
    <row r="132" spans="1:23" x14ac:dyDescent="0.2">
      <c r="A132" t="s">
        <v>153</v>
      </c>
      <c r="B132" t="s">
        <v>157</v>
      </c>
      <c r="C132">
        <v>0.1049847602844238</v>
      </c>
      <c r="D132">
        <v>74</v>
      </c>
      <c r="E132">
        <v>11</v>
      </c>
      <c r="F132">
        <v>8</v>
      </c>
      <c r="G132">
        <v>8</v>
      </c>
      <c r="H132">
        <v>5.708333333333333</v>
      </c>
      <c r="I132">
        <v>1</v>
      </c>
      <c r="J132">
        <v>1.291666666666667</v>
      </c>
      <c r="K132">
        <v>1.291666666666667</v>
      </c>
      <c r="L132">
        <v>3</v>
      </c>
      <c r="M132">
        <v>9</v>
      </c>
      <c r="N132">
        <v>1</v>
      </c>
      <c r="O132">
        <v>2</v>
      </c>
      <c r="P132">
        <v>31</v>
      </c>
      <c r="Q132">
        <v>24</v>
      </c>
      <c r="R132">
        <v>8</v>
      </c>
      <c r="S132">
        <v>8</v>
      </c>
      <c r="T132">
        <v>161</v>
      </c>
      <c r="U132">
        <v>52</v>
      </c>
      <c r="V132">
        <v>137</v>
      </c>
      <c r="W132">
        <v>31</v>
      </c>
    </row>
    <row r="133" spans="1:23" x14ac:dyDescent="0.2">
      <c r="A133" t="s">
        <v>154</v>
      </c>
      <c r="B133" t="s">
        <v>157</v>
      </c>
      <c r="C133">
        <v>3.474738597869873</v>
      </c>
      <c r="D133">
        <v>39</v>
      </c>
      <c r="E133">
        <v>157</v>
      </c>
      <c r="F133">
        <v>5</v>
      </c>
      <c r="G133">
        <v>4</v>
      </c>
      <c r="H133">
        <v>391.11111111111109</v>
      </c>
      <c r="I133">
        <v>1.8269230769230771</v>
      </c>
      <c r="J133">
        <v>4.2222222222222223</v>
      </c>
      <c r="K133">
        <v>2.3111111111111109</v>
      </c>
      <c r="L133">
        <v>11.25</v>
      </c>
      <c r="M133">
        <v>5184</v>
      </c>
      <c r="N133">
        <v>4</v>
      </c>
      <c r="O133">
        <v>4</v>
      </c>
      <c r="P133">
        <v>104</v>
      </c>
      <c r="Q133">
        <v>45</v>
      </c>
      <c r="R133">
        <v>4</v>
      </c>
      <c r="S133">
        <v>13</v>
      </c>
      <c r="T133">
        <v>395</v>
      </c>
      <c r="U133">
        <v>27</v>
      </c>
      <c r="V133">
        <v>17600</v>
      </c>
      <c r="W133">
        <v>190</v>
      </c>
    </row>
    <row r="134" spans="1:23" x14ac:dyDescent="0.2">
      <c r="A134" t="s">
        <v>155</v>
      </c>
      <c r="B134" t="s">
        <v>157</v>
      </c>
      <c r="C134">
        <v>4.0522279739379883</v>
      </c>
      <c r="D134">
        <v>4951</v>
      </c>
      <c r="E134">
        <v>6777</v>
      </c>
      <c r="F134">
        <v>16</v>
      </c>
      <c r="G134">
        <v>16</v>
      </c>
      <c r="H134">
        <v>0</v>
      </c>
      <c r="I134">
        <v>1.032258064516129</v>
      </c>
      <c r="J134">
        <v>2</v>
      </c>
      <c r="K134">
        <v>1.9375</v>
      </c>
      <c r="L134">
        <v>4</v>
      </c>
      <c r="M134">
        <v>0</v>
      </c>
      <c r="N134">
        <v>2</v>
      </c>
      <c r="O134">
        <v>2</v>
      </c>
      <c r="P134">
        <v>124</v>
      </c>
      <c r="Q134">
        <v>64</v>
      </c>
      <c r="R134">
        <v>16</v>
      </c>
      <c r="S134">
        <v>20</v>
      </c>
      <c r="T134">
        <v>1152</v>
      </c>
      <c r="U134">
        <v>288</v>
      </c>
      <c r="V134">
        <v>0</v>
      </c>
      <c r="W134">
        <v>128</v>
      </c>
    </row>
    <row r="135" spans="1:23" x14ac:dyDescent="0.2">
      <c r="A135" t="s">
        <v>156</v>
      </c>
      <c r="B135" t="s">
        <v>157</v>
      </c>
      <c r="C135">
        <v>0.67310309410095215</v>
      </c>
      <c r="D135">
        <v>120</v>
      </c>
      <c r="E135">
        <v>450</v>
      </c>
      <c r="F135">
        <v>5</v>
      </c>
      <c r="G135">
        <v>5</v>
      </c>
      <c r="H135">
        <v>0.10526315789473679</v>
      </c>
      <c r="I135">
        <v>1.1875</v>
      </c>
      <c r="J135">
        <v>2</v>
      </c>
      <c r="K135">
        <v>1.6842105263157889</v>
      </c>
      <c r="L135">
        <v>3.8</v>
      </c>
      <c r="M135">
        <v>1</v>
      </c>
      <c r="N135">
        <v>4</v>
      </c>
      <c r="O135">
        <v>4</v>
      </c>
      <c r="P135">
        <v>32</v>
      </c>
      <c r="Q135">
        <v>19</v>
      </c>
      <c r="R135">
        <v>5</v>
      </c>
      <c r="S135">
        <v>8</v>
      </c>
      <c r="T135">
        <v>114</v>
      </c>
      <c r="U135">
        <v>26</v>
      </c>
      <c r="V135">
        <v>2</v>
      </c>
      <c r="W135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B425-5383-C246-8F39-A7DD55FB15BB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02B0-06F3-0A45-98C9-44CED2E793E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54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160</v>
      </c>
      <c r="B2" t="s">
        <v>157</v>
      </c>
      <c r="C2">
        <v>168.7123947143555</v>
      </c>
      <c r="D2">
        <v>942</v>
      </c>
      <c r="E2">
        <v>1224</v>
      </c>
      <c r="F2">
        <v>9</v>
      </c>
      <c r="G2">
        <v>8</v>
      </c>
      <c r="H2">
        <v>0.67441860465116277</v>
      </c>
      <c r="I2">
        <v>1</v>
      </c>
      <c r="J2">
        <v>1.930232558139535</v>
      </c>
      <c r="K2">
        <v>1.930232558139535</v>
      </c>
      <c r="L2">
        <v>5.375</v>
      </c>
      <c r="M2">
        <v>7</v>
      </c>
      <c r="N2">
        <v>1</v>
      </c>
      <c r="O2">
        <v>3</v>
      </c>
      <c r="P2">
        <v>83</v>
      </c>
      <c r="Q2">
        <v>43</v>
      </c>
      <c r="R2">
        <v>8</v>
      </c>
      <c r="S2">
        <v>9</v>
      </c>
      <c r="T2">
        <v>304</v>
      </c>
      <c r="U2">
        <v>51</v>
      </c>
      <c r="V2">
        <v>29</v>
      </c>
      <c r="W2">
        <v>83</v>
      </c>
    </row>
    <row r="3" spans="1:23" x14ac:dyDescent="0.2">
      <c r="A3" t="s">
        <v>161</v>
      </c>
      <c r="B3" t="s">
        <v>157</v>
      </c>
      <c r="C3">
        <v>23.163882493972778</v>
      </c>
      <c r="D3">
        <v>314</v>
      </c>
      <c r="E3">
        <v>496</v>
      </c>
      <c r="F3">
        <v>9</v>
      </c>
      <c r="G3">
        <v>8</v>
      </c>
      <c r="H3">
        <v>129.64705882352939</v>
      </c>
      <c r="I3">
        <v>1.0543478260869561</v>
      </c>
      <c r="J3">
        <v>1.9019607843137261</v>
      </c>
      <c r="K3">
        <v>1.803921568627451</v>
      </c>
      <c r="L3">
        <v>6.375</v>
      </c>
      <c r="M3">
        <v>1056</v>
      </c>
      <c r="N3">
        <v>2</v>
      </c>
      <c r="O3">
        <v>3</v>
      </c>
      <c r="P3">
        <v>92</v>
      </c>
      <c r="Q3">
        <v>51</v>
      </c>
      <c r="R3">
        <v>8</v>
      </c>
      <c r="S3">
        <v>10</v>
      </c>
      <c r="T3">
        <v>413</v>
      </c>
      <c r="U3">
        <v>62</v>
      </c>
      <c r="V3">
        <v>6612</v>
      </c>
      <c r="W3">
        <v>97</v>
      </c>
    </row>
    <row r="4" spans="1:23" x14ac:dyDescent="0.2">
      <c r="A4" t="s">
        <v>162</v>
      </c>
      <c r="B4" t="s">
        <v>157</v>
      </c>
      <c r="C4">
        <v>1.3660504817962651</v>
      </c>
      <c r="D4">
        <v>62</v>
      </c>
      <c r="E4">
        <v>39</v>
      </c>
      <c r="F4">
        <v>6</v>
      </c>
      <c r="G4">
        <v>5</v>
      </c>
      <c r="H4">
        <v>6.784534650724951E+18</v>
      </c>
      <c r="I4">
        <v>1.236842105263158</v>
      </c>
      <c r="J4">
        <v>1.5666666666666671</v>
      </c>
      <c r="K4">
        <v>1.2666666666666671</v>
      </c>
      <c r="L4">
        <v>6</v>
      </c>
      <c r="M4">
        <v>2.0337025628949099E+20</v>
      </c>
      <c r="N4">
        <v>2</v>
      </c>
      <c r="O4">
        <v>2</v>
      </c>
      <c r="P4">
        <v>38</v>
      </c>
      <c r="Q4">
        <v>30</v>
      </c>
      <c r="R4">
        <v>5</v>
      </c>
      <c r="S4">
        <v>9</v>
      </c>
      <c r="T4">
        <v>223</v>
      </c>
      <c r="U4">
        <v>33</v>
      </c>
      <c r="V4">
        <v>2.0353603952174848E+20</v>
      </c>
      <c r="W4">
        <v>47</v>
      </c>
    </row>
    <row r="5" spans="1:23" x14ac:dyDescent="0.2">
      <c r="A5" t="s">
        <v>163</v>
      </c>
      <c r="B5" t="s">
        <v>157</v>
      </c>
      <c r="C5">
        <v>4489.4434998035431</v>
      </c>
      <c r="D5">
        <v>2558</v>
      </c>
      <c r="E5">
        <v>4162</v>
      </c>
      <c r="F5">
        <v>10</v>
      </c>
      <c r="G5">
        <v>9</v>
      </c>
      <c r="H5">
        <v>58996447823233.078</v>
      </c>
      <c r="I5">
        <v>1.028169014084507</v>
      </c>
      <c r="J5">
        <v>2.1262135922330101</v>
      </c>
      <c r="K5">
        <v>2.0679611650485441</v>
      </c>
      <c r="L5">
        <v>11.444444444444439</v>
      </c>
      <c r="M5">
        <v>1212982689600000</v>
      </c>
      <c r="N5">
        <v>2</v>
      </c>
      <c r="O5">
        <v>4</v>
      </c>
      <c r="P5">
        <v>213</v>
      </c>
      <c r="Q5">
        <v>103</v>
      </c>
      <c r="R5">
        <v>9</v>
      </c>
      <c r="S5">
        <v>19</v>
      </c>
      <c r="T5">
        <v>1738</v>
      </c>
      <c r="U5">
        <v>144</v>
      </c>
      <c r="V5">
        <v>6076634125793007</v>
      </c>
      <c r="W5">
        <v>219</v>
      </c>
    </row>
    <row r="6" spans="1:23" x14ac:dyDescent="0.2">
      <c r="A6" t="s">
        <v>164</v>
      </c>
      <c r="B6" t="s">
        <v>157</v>
      </c>
      <c r="C6">
        <v>35.72290301322937</v>
      </c>
      <c r="D6">
        <v>363</v>
      </c>
      <c r="E6">
        <v>704</v>
      </c>
      <c r="F6">
        <v>9</v>
      </c>
      <c r="G6">
        <v>8</v>
      </c>
      <c r="H6">
        <v>128.9411764705882</v>
      </c>
      <c r="I6">
        <v>1.0543478260869561</v>
      </c>
      <c r="J6">
        <v>1.9019607843137261</v>
      </c>
      <c r="K6">
        <v>1.803921568627451</v>
      </c>
      <c r="L6">
        <v>6.375</v>
      </c>
      <c r="M6">
        <v>1056</v>
      </c>
      <c r="N6">
        <v>2</v>
      </c>
      <c r="O6">
        <v>3</v>
      </c>
      <c r="P6">
        <v>92</v>
      </c>
      <c r="Q6">
        <v>51</v>
      </c>
      <c r="R6">
        <v>8</v>
      </c>
      <c r="S6">
        <v>10</v>
      </c>
      <c r="T6">
        <v>413</v>
      </c>
      <c r="U6">
        <v>62</v>
      </c>
      <c r="V6">
        <v>6576</v>
      </c>
      <c r="W6">
        <v>97</v>
      </c>
    </row>
    <row r="7" spans="1:23" x14ac:dyDescent="0.2">
      <c r="A7" t="s">
        <v>165</v>
      </c>
      <c r="B7" t="s">
        <v>157</v>
      </c>
      <c r="C7">
        <v>3.766022682189941</v>
      </c>
      <c r="D7">
        <v>77</v>
      </c>
      <c r="E7">
        <v>64</v>
      </c>
      <c r="F7">
        <v>6</v>
      </c>
      <c r="G7">
        <v>5</v>
      </c>
      <c r="H7">
        <v>6.7851077952142111E+18</v>
      </c>
      <c r="I7">
        <v>1.236842105263158</v>
      </c>
      <c r="J7">
        <v>1.5666666666666671</v>
      </c>
      <c r="K7">
        <v>1.2666666666666671</v>
      </c>
      <c r="L7">
        <v>6</v>
      </c>
      <c r="M7">
        <v>2.0337025628949099E+20</v>
      </c>
      <c r="N7">
        <v>2</v>
      </c>
      <c r="O7">
        <v>2</v>
      </c>
      <c r="P7">
        <v>38</v>
      </c>
      <c r="Q7">
        <v>30</v>
      </c>
      <c r="R7">
        <v>5</v>
      </c>
      <c r="S7">
        <v>9</v>
      </c>
      <c r="T7">
        <v>223</v>
      </c>
      <c r="U7">
        <v>32</v>
      </c>
      <c r="V7">
        <v>2.0355323385642631E+20</v>
      </c>
      <c r="W7">
        <v>47</v>
      </c>
    </row>
    <row r="8" spans="1:23" x14ac:dyDescent="0.2">
      <c r="A8" t="s">
        <v>166</v>
      </c>
      <c r="B8" t="s">
        <v>157</v>
      </c>
      <c r="C8">
        <v>8.4256281852722168</v>
      </c>
      <c r="D8">
        <v>7057</v>
      </c>
      <c r="E8">
        <v>13771</v>
      </c>
      <c r="F8">
        <v>17</v>
      </c>
      <c r="G8">
        <v>16</v>
      </c>
      <c r="H8">
        <v>0</v>
      </c>
      <c r="I8">
        <v>1.0327868852459019</v>
      </c>
      <c r="J8">
        <v>1.96875</v>
      </c>
      <c r="K8">
        <v>1.90625</v>
      </c>
      <c r="L8">
        <v>4</v>
      </c>
      <c r="M8">
        <v>0</v>
      </c>
      <c r="N8">
        <v>2</v>
      </c>
      <c r="O8">
        <v>2</v>
      </c>
      <c r="P8">
        <v>122</v>
      </c>
      <c r="Q8">
        <v>64</v>
      </c>
      <c r="R8">
        <v>16</v>
      </c>
      <c r="S8">
        <v>21</v>
      </c>
      <c r="T8">
        <v>1218</v>
      </c>
      <c r="U8">
        <v>304</v>
      </c>
      <c r="V8">
        <v>0</v>
      </c>
      <c r="W8">
        <v>126</v>
      </c>
    </row>
    <row r="9" spans="1:23" x14ac:dyDescent="0.2">
      <c r="A9" t="s">
        <v>167</v>
      </c>
      <c r="B9" t="s">
        <v>158</v>
      </c>
      <c r="C9" t="s">
        <v>159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  <c r="J9" t="s">
        <v>159</v>
      </c>
      <c r="K9" t="s">
        <v>159</v>
      </c>
      <c r="L9" t="s">
        <v>159</v>
      </c>
      <c r="M9" t="s">
        <v>159</v>
      </c>
      <c r="N9" t="s">
        <v>159</v>
      </c>
      <c r="O9" t="s">
        <v>159</v>
      </c>
      <c r="P9" t="s">
        <v>159</v>
      </c>
      <c r="Q9" t="s">
        <v>159</v>
      </c>
      <c r="R9" t="s">
        <v>159</v>
      </c>
      <c r="S9" t="s">
        <v>159</v>
      </c>
      <c r="T9" t="s">
        <v>159</v>
      </c>
      <c r="U9" t="s">
        <v>159</v>
      </c>
      <c r="V9" t="s">
        <v>159</v>
      </c>
      <c r="W9" t="s">
        <v>159</v>
      </c>
    </row>
    <row r="10" spans="1:23" x14ac:dyDescent="0.2">
      <c r="A10" t="s">
        <v>168</v>
      </c>
      <c r="B10" t="s">
        <v>157</v>
      </c>
      <c r="C10">
        <v>203.51209735870361</v>
      </c>
      <c r="D10">
        <v>1033</v>
      </c>
      <c r="E10">
        <v>1135</v>
      </c>
      <c r="F10">
        <v>11</v>
      </c>
      <c r="G10">
        <v>10</v>
      </c>
      <c r="H10">
        <v>150.05000000000001</v>
      </c>
      <c r="I10">
        <v>1</v>
      </c>
      <c r="J10">
        <v>1.5249999999999999</v>
      </c>
      <c r="K10">
        <v>1.5249999999999999</v>
      </c>
      <c r="L10">
        <v>4</v>
      </c>
      <c r="M10">
        <v>855</v>
      </c>
      <c r="N10">
        <v>1</v>
      </c>
      <c r="O10">
        <v>2</v>
      </c>
      <c r="P10">
        <v>61</v>
      </c>
      <c r="Q10">
        <v>40</v>
      </c>
      <c r="R10">
        <v>10</v>
      </c>
      <c r="S10">
        <v>11</v>
      </c>
      <c r="T10">
        <v>379</v>
      </c>
      <c r="U10">
        <v>92</v>
      </c>
      <c r="V10">
        <v>6002</v>
      </c>
      <c r="W10">
        <v>61</v>
      </c>
    </row>
    <row r="11" spans="1:23" x14ac:dyDescent="0.2">
      <c r="A11" t="s">
        <v>169</v>
      </c>
      <c r="B11" t="s">
        <v>157</v>
      </c>
      <c r="C11">
        <v>20.990525484085079</v>
      </c>
      <c r="D11">
        <v>346</v>
      </c>
      <c r="E11">
        <v>587</v>
      </c>
      <c r="F11">
        <v>9</v>
      </c>
      <c r="G11">
        <v>8</v>
      </c>
      <c r="H11">
        <v>51.313725490196077</v>
      </c>
      <c r="I11">
        <v>1.0543478260869561</v>
      </c>
      <c r="J11">
        <v>1.9019607843137261</v>
      </c>
      <c r="K11">
        <v>1.803921568627451</v>
      </c>
      <c r="L11">
        <v>6.375</v>
      </c>
      <c r="M11">
        <v>284</v>
      </c>
      <c r="N11">
        <v>2</v>
      </c>
      <c r="O11">
        <v>3</v>
      </c>
      <c r="P11">
        <v>92</v>
      </c>
      <c r="Q11">
        <v>51</v>
      </c>
      <c r="R11">
        <v>8</v>
      </c>
      <c r="S11">
        <v>10</v>
      </c>
      <c r="T11">
        <v>413</v>
      </c>
      <c r="U11">
        <v>62</v>
      </c>
      <c r="V11">
        <v>2617</v>
      </c>
      <c r="W11">
        <v>97</v>
      </c>
    </row>
    <row r="12" spans="1:23" x14ac:dyDescent="0.2">
      <c r="A12" t="s">
        <v>170</v>
      </c>
      <c r="B12" t="s">
        <v>157</v>
      </c>
      <c r="C12">
        <v>2.4298386573791499</v>
      </c>
      <c r="D12">
        <v>265</v>
      </c>
      <c r="E12">
        <v>449</v>
      </c>
      <c r="F12">
        <v>11</v>
      </c>
      <c r="G12">
        <v>9</v>
      </c>
      <c r="H12">
        <v>2.7162162162162158</v>
      </c>
      <c r="I12">
        <v>1</v>
      </c>
      <c r="J12">
        <v>1.459459459459459</v>
      </c>
      <c r="K12">
        <v>1.459459459459459</v>
      </c>
      <c r="L12">
        <v>8.2222222222222214</v>
      </c>
      <c r="M12">
        <v>4</v>
      </c>
      <c r="N12">
        <v>1</v>
      </c>
      <c r="O12">
        <v>2</v>
      </c>
      <c r="P12">
        <v>108</v>
      </c>
      <c r="Q12">
        <v>74</v>
      </c>
      <c r="R12">
        <v>9</v>
      </c>
      <c r="S12">
        <v>11</v>
      </c>
      <c r="T12">
        <v>706</v>
      </c>
      <c r="U12">
        <v>83</v>
      </c>
      <c r="V12">
        <v>201</v>
      </c>
      <c r="W12">
        <v>108</v>
      </c>
    </row>
    <row r="13" spans="1:23" x14ac:dyDescent="0.2">
      <c r="A13" t="s">
        <v>171</v>
      </c>
      <c r="B13" t="s">
        <v>157</v>
      </c>
      <c r="C13">
        <v>575.85202860832214</v>
      </c>
      <c r="D13">
        <v>667</v>
      </c>
      <c r="E13">
        <v>2143</v>
      </c>
      <c r="F13">
        <v>9</v>
      </c>
      <c r="G13">
        <v>8</v>
      </c>
      <c r="H13">
        <v>51.235294117647058</v>
      </c>
      <c r="I13">
        <v>1.0543478260869561</v>
      </c>
      <c r="J13">
        <v>1.9019607843137261</v>
      </c>
      <c r="K13">
        <v>1.803921568627451</v>
      </c>
      <c r="L13">
        <v>6.375</v>
      </c>
      <c r="M13">
        <v>284</v>
      </c>
      <c r="N13">
        <v>2</v>
      </c>
      <c r="O13">
        <v>3</v>
      </c>
      <c r="P13">
        <v>92</v>
      </c>
      <c r="Q13">
        <v>51</v>
      </c>
      <c r="R13">
        <v>8</v>
      </c>
      <c r="S13">
        <v>10</v>
      </c>
      <c r="T13">
        <v>413</v>
      </c>
      <c r="U13">
        <v>63</v>
      </c>
      <c r="V13">
        <v>2613</v>
      </c>
      <c r="W13">
        <v>97</v>
      </c>
    </row>
    <row r="14" spans="1:23" x14ac:dyDescent="0.2">
      <c r="A14" t="s">
        <v>172</v>
      </c>
      <c r="B14" t="s">
        <v>157</v>
      </c>
      <c r="C14">
        <v>23.26390099525452</v>
      </c>
      <c r="D14">
        <v>314</v>
      </c>
      <c r="E14">
        <v>494</v>
      </c>
      <c r="F14">
        <v>9</v>
      </c>
      <c r="G14">
        <v>8</v>
      </c>
      <c r="H14">
        <v>50.921568627450981</v>
      </c>
      <c r="I14">
        <v>1.054945054945055</v>
      </c>
      <c r="J14">
        <v>1.8823529411764699</v>
      </c>
      <c r="K14">
        <v>1.784313725490196</v>
      </c>
      <c r="L14">
        <v>6.375</v>
      </c>
      <c r="M14">
        <v>284</v>
      </c>
      <c r="N14">
        <v>2</v>
      </c>
      <c r="O14">
        <v>3</v>
      </c>
      <c r="P14">
        <v>91</v>
      </c>
      <c r="Q14">
        <v>51</v>
      </c>
      <c r="R14">
        <v>8</v>
      </c>
      <c r="S14">
        <v>10</v>
      </c>
      <c r="T14">
        <v>414</v>
      </c>
      <c r="U14">
        <v>62</v>
      </c>
      <c r="V14">
        <v>2597</v>
      </c>
      <c r="W14">
        <v>96</v>
      </c>
    </row>
    <row r="15" spans="1:23" x14ac:dyDescent="0.2">
      <c r="A15" t="s">
        <v>173</v>
      </c>
      <c r="B15" t="s">
        <v>157</v>
      </c>
      <c r="C15">
        <v>3230.946346282959</v>
      </c>
      <c r="D15">
        <v>2853</v>
      </c>
      <c r="E15">
        <v>6016</v>
      </c>
      <c r="F15">
        <v>10</v>
      </c>
      <c r="G15">
        <v>9</v>
      </c>
      <c r="H15">
        <v>58996447813524.344</v>
      </c>
      <c r="I15">
        <v>1.033175355450237</v>
      </c>
      <c r="J15">
        <v>2.116504854368932</v>
      </c>
      <c r="K15">
        <v>2.0485436893203879</v>
      </c>
      <c r="L15">
        <v>11.444444444444439</v>
      </c>
      <c r="M15">
        <v>1212982689600000</v>
      </c>
      <c r="N15">
        <v>2</v>
      </c>
      <c r="O15">
        <v>4</v>
      </c>
      <c r="P15">
        <v>211</v>
      </c>
      <c r="Q15">
        <v>103</v>
      </c>
      <c r="R15">
        <v>9</v>
      </c>
      <c r="S15">
        <v>19</v>
      </c>
      <c r="T15">
        <v>1739</v>
      </c>
      <c r="U15">
        <v>145</v>
      </c>
      <c r="V15">
        <v>6076634124793007</v>
      </c>
      <c r="W15">
        <v>218</v>
      </c>
    </row>
    <row r="16" spans="1:23" x14ac:dyDescent="0.2">
      <c r="A16" t="s">
        <v>174</v>
      </c>
      <c r="B16" t="s">
        <v>158</v>
      </c>
      <c r="C16" t="s">
        <v>159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  <c r="I16" t="s">
        <v>159</v>
      </c>
      <c r="J16" t="s">
        <v>159</v>
      </c>
      <c r="K16" t="s">
        <v>159</v>
      </c>
      <c r="L16" t="s">
        <v>159</v>
      </c>
      <c r="M16" t="s">
        <v>159</v>
      </c>
      <c r="N16" t="s">
        <v>159</v>
      </c>
      <c r="O16" t="s">
        <v>159</v>
      </c>
      <c r="P16" t="s">
        <v>159</v>
      </c>
      <c r="Q16" t="s">
        <v>159</v>
      </c>
      <c r="R16" t="s">
        <v>159</v>
      </c>
      <c r="S16" t="s">
        <v>159</v>
      </c>
      <c r="T16" t="s">
        <v>159</v>
      </c>
      <c r="U16" t="s">
        <v>159</v>
      </c>
      <c r="V16" t="s">
        <v>159</v>
      </c>
      <c r="W16" t="s">
        <v>159</v>
      </c>
    </row>
    <row r="17" spans="1:23" x14ac:dyDescent="0.2">
      <c r="A17" t="s">
        <v>175</v>
      </c>
      <c r="B17" t="s">
        <v>157</v>
      </c>
      <c r="C17">
        <v>1.608406066894531</v>
      </c>
      <c r="D17">
        <v>139</v>
      </c>
      <c r="E17">
        <v>123</v>
      </c>
      <c r="F17">
        <v>7</v>
      </c>
      <c r="G17">
        <v>6</v>
      </c>
      <c r="H17">
        <v>5063.9634146341459</v>
      </c>
      <c r="I17">
        <v>1</v>
      </c>
      <c r="J17">
        <v>1.4390243902439019</v>
      </c>
      <c r="K17">
        <v>1.4390243902439019</v>
      </c>
      <c r="L17">
        <v>13.66666666666667</v>
      </c>
      <c r="M17">
        <v>57031</v>
      </c>
      <c r="N17">
        <v>1</v>
      </c>
      <c r="O17">
        <v>2</v>
      </c>
      <c r="P17">
        <v>118</v>
      </c>
      <c r="Q17">
        <v>82</v>
      </c>
      <c r="R17">
        <v>6</v>
      </c>
      <c r="S17">
        <v>7</v>
      </c>
      <c r="T17">
        <v>456</v>
      </c>
      <c r="U17">
        <v>30</v>
      </c>
      <c r="V17">
        <v>415245</v>
      </c>
      <c r="W17">
        <v>118</v>
      </c>
    </row>
    <row r="18" spans="1:23" x14ac:dyDescent="0.2">
      <c r="A18" t="s">
        <v>176</v>
      </c>
      <c r="B18" t="s">
        <v>157</v>
      </c>
      <c r="C18">
        <v>92.567456007003784</v>
      </c>
      <c r="D18">
        <v>1945</v>
      </c>
      <c r="E18">
        <v>5018</v>
      </c>
      <c r="F18">
        <v>10</v>
      </c>
      <c r="G18">
        <v>9</v>
      </c>
      <c r="H18">
        <v>0.67924528301886788</v>
      </c>
      <c r="I18">
        <v>1</v>
      </c>
      <c r="J18">
        <v>1.4905660377358489</v>
      </c>
      <c r="K18">
        <v>1.4905660377358489</v>
      </c>
      <c r="L18">
        <v>5.8888888888888893</v>
      </c>
      <c r="M18">
        <v>8</v>
      </c>
      <c r="N18">
        <v>1</v>
      </c>
      <c r="O18">
        <v>2</v>
      </c>
      <c r="P18">
        <v>79</v>
      </c>
      <c r="Q18">
        <v>53</v>
      </c>
      <c r="R18">
        <v>9</v>
      </c>
      <c r="S18">
        <v>10</v>
      </c>
      <c r="T18">
        <v>451</v>
      </c>
      <c r="U18">
        <v>74</v>
      </c>
      <c r="V18">
        <v>36</v>
      </c>
      <c r="W18">
        <v>79</v>
      </c>
    </row>
    <row r="19" spans="1:23" x14ac:dyDescent="0.2">
      <c r="A19" t="s">
        <v>177</v>
      </c>
      <c r="B19" t="s">
        <v>157</v>
      </c>
      <c r="C19">
        <v>196.5969762802124</v>
      </c>
      <c r="D19">
        <v>982</v>
      </c>
      <c r="E19">
        <v>18853</v>
      </c>
      <c r="F19">
        <v>7</v>
      </c>
      <c r="G19">
        <v>6</v>
      </c>
      <c r="H19">
        <v>3.125E-2</v>
      </c>
      <c r="I19">
        <v>1</v>
      </c>
      <c r="J19">
        <v>2.75</v>
      </c>
      <c r="K19">
        <v>2.75</v>
      </c>
      <c r="L19">
        <v>5.333333333333333</v>
      </c>
      <c r="M19">
        <v>1</v>
      </c>
      <c r="N19">
        <v>1</v>
      </c>
      <c r="O19">
        <v>5</v>
      </c>
      <c r="P19">
        <v>88</v>
      </c>
      <c r="Q19">
        <v>32</v>
      </c>
      <c r="R19">
        <v>6</v>
      </c>
      <c r="S19">
        <v>7</v>
      </c>
      <c r="T19">
        <v>136</v>
      </c>
      <c r="U19">
        <v>22</v>
      </c>
      <c r="V19">
        <v>1</v>
      </c>
      <c r="W19">
        <v>88</v>
      </c>
    </row>
    <row r="20" spans="1:23" x14ac:dyDescent="0.2">
      <c r="A20" t="s">
        <v>178</v>
      </c>
      <c r="B20" t="s">
        <v>157</v>
      </c>
      <c r="C20">
        <v>107.05188059806819</v>
      </c>
      <c r="D20">
        <v>63</v>
      </c>
      <c r="E20">
        <v>3154</v>
      </c>
      <c r="F20">
        <v>4</v>
      </c>
      <c r="G20">
        <v>4</v>
      </c>
      <c r="H20">
        <v>131451.5384615385</v>
      </c>
      <c r="I20">
        <v>1.5752212389380531</v>
      </c>
      <c r="J20">
        <v>3.4230769230769229</v>
      </c>
      <c r="K20">
        <v>2.1730769230769229</v>
      </c>
      <c r="L20">
        <v>13</v>
      </c>
      <c r="M20">
        <v>2985984</v>
      </c>
      <c r="N20">
        <v>3</v>
      </c>
      <c r="O20">
        <v>3</v>
      </c>
      <c r="P20">
        <v>113</v>
      </c>
      <c r="Q20">
        <v>52</v>
      </c>
      <c r="R20">
        <v>4</v>
      </c>
      <c r="S20">
        <v>12</v>
      </c>
      <c r="T20">
        <v>446</v>
      </c>
      <c r="U20">
        <v>26</v>
      </c>
      <c r="V20">
        <v>6835480</v>
      </c>
      <c r="W20">
        <v>178</v>
      </c>
    </row>
    <row r="21" spans="1:23" x14ac:dyDescent="0.2">
      <c r="A21" t="s">
        <v>179</v>
      </c>
      <c r="B21" t="s">
        <v>157</v>
      </c>
      <c r="C21">
        <v>10.851536750793461</v>
      </c>
      <c r="D21">
        <v>345</v>
      </c>
      <c r="E21">
        <v>511</v>
      </c>
      <c r="F21">
        <v>7</v>
      </c>
      <c r="G21">
        <v>6</v>
      </c>
      <c r="H21">
        <v>5.9215686274509807</v>
      </c>
      <c r="I21">
        <v>1.384615384615385</v>
      </c>
      <c r="J21">
        <v>1.7647058823529409</v>
      </c>
      <c r="K21">
        <v>1.2745098039215681</v>
      </c>
      <c r="L21">
        <v>8.5</v>
      </c>
      <c r="M21">
        <v>50</v>
      </c>
      <c r="N21">
        <v>2</v>
      </c>
      <c r="O21">
        <v>2</v>
      </c>
      <c r="P21">
        <v>65</v>
      </c>
      <c r="Q21">
        <v>51</v>
      </c>
      <c r="R21">
        <v>6</v>
      </c>
      <c r="S21">
        <v>13</v>
      </c>
      <c r="T21">
        <v>573</v>
      </c>
      <c r="U21">
        <v>66</v>
      </c>
      <c r="V21">
        <v>302</v>
      </c>
      <c r="W21">
        <v>90</v>
      </c>
    </row>
    <row r="22" spans="1:23" x14ac:dyDescent="0.2">
      <c r="A22" t="s">
        <v>180</v>
      </c>
      <c r="B22" t="s">
        <v>157</v>
      </c>
      <c r="C22">
        <v>160.17537307739261</v>
      </c>
      <c r="D22">
        <v>788</v>
      </c>
      <c r="E22">
        <v>1368</v>
      </c>
      <c r="F22">
        <v>9</v>
      </c>
      <c r="G22">
        <v>8</v>
      </c>
      <c r="H22">
        <v>1.55</v>
      </c>
      <c r="I22">
        <v>1.1208791208791209</v>
      </c>
      <c r="J22">
        <v>1.7</v>
      </c>
      <c r="K22">
        <v>1.5166666666666671</v>
      </c>
      <c r="L22">
        <v>7.5</v>
      </c>
      <c r="M22">
        <v>2</v>
      </c>
      <c r="N22">
        <v>2</v>
      </c>
      <c r="O22">
        <v>2</v>
      </c>
      <c r="P22">
        <v>91</v>
      </c>
      <c r="Q22">
        <v>60</v>
      </c>
      <c r="R22">
        <v>8</v>
      </c>
      <c r="S22">
        <v>17</v>
      </c>
      <c r="T22">
        <v>918</v>
      </c>
      <c r="U22">
        <v>121</v>
      </c>
      <c r="V22">
        <v>93</v>
      </c>
      <c r="W22">
        <v>102</v>
      </c>
    </row>
    <row r="23" spans="1:23" x14ac:dyDescent="0.2">
      <c r="A23" t="s">
        <v>181</v>
      </c>
      <c r="B23" t="s">
        <v>158</v>
      </c>
      <c r="C23" t="s">
        <v>159</v>
      </c>
      <c r="D23" t="s">
        <v>159</v>
      </c>
      <c r="E23" t="s">
        <v>159</v>
      </c>
      <c r="F23" t="s">
        <v>159</v>
      </c>
      <c r="G23" t="s">
        <v>159</v>
      </c>
      <c r="H23" t="s">
        <v>159</v>
      </c>
      <c r="I23" t="s">
        <v>159</v>
      </c>
      <c r="J23" t="s">
        <v>159</v>
      </c>
      <c r="K23" t="s">
        <v>159</v>
      </c>
      <c r="L23" t="s">
        <v>159</v>
      </c>
      <c r="M23" t="s">
        <v>159</v>
      </c>
      <c r="N23" t="s">
        <v>159</v>
      </c>
      <c r="O23" t="s">
        <v>159</v>
      </c>
      <c r="P23" t="s">
        <v>159</v>
      </c>
      <c r="Q23" t="s">
        <v>159</v>
      </c>
      <c r="R23" t="s">
        <v>159</v>
      </c>
      <c r="S23" t="s">
        <v>159</v>
      </c>
      <c r="T23" t="s">
        <v>159</v>
      </c>
      <c r="U23" t="s">
        <v>159</v>
      </c>
      <c r="V23" t="s">
        <v>159</v>
      </c>
      <c r="W23" t="s">
        <v>159</v>
      </c>
    </row>
    <row r="24" spans="1:23" x14ac:dyDescent="0.2">
      <c r="A24" t="s">
        <v>182</v>
      </c>
      <c r="B24" t="s">
        <v>157</v>
      </c>
      <c r="C24">
        <v>45.624812841415412</v>
      </c>
      <c r="D24">
        <v>682</v>
      </c>
      <c r="E24">
        <v>2480</v>
      </c>
      <c r="F24">
        <v>7</v>
      </c>
      <c r="G24">
        <v>7</v>
      </c>
      <c r="H24">
        <v>7.0727272727272723</v>
      </c>
      <c r="I24">
        <v>1.6493506493506489</v>
      </c>
      <c r="J24">
        <v>2.3090909090909091</v>
      </c>
      <c r="K24">
        <v>1.4</v>
      </c>
      <c r="L24">
        <v>7.8571428571428568</v>
      </c>
      <c r="M24">
        <v>36</v>
      </c>
      <c r="N24">
        <v>4</v>
      </c>
      <c r="O24">
        <v>3</v>
      </c>
      <c r="P24">
        <v>77</v>
      </c>
      <c r="Q24">
        <v>55</v>
      </c>
      <c r="R24">
        <v>7</v>
      </c>
      <c r="S24">
        <v>14</v>
      </c>
      <c r="T24">
        <v>643</v>
      </c>
      <c r="U24">
        <v>74</v>
      </c>
      <c r="V24">
        <v>389</v>
      </c>
      <c r="W24">
        <v>127</v>
      </c>
    </row>
    <row r="25" spans="1:23" x14ac:dyDescent="0.2">
      <c r="A25" t="s">
        <v>183</v>
      </c>
      <c r="B25" t="s">
        <v>157</v>
      </c>
      <c r="C25">
        <v>114.75199151039121</v>
      </c>
      <c r="D25">
        <v>1881</v>
      </c>
      <c r="E25">
        <v>4530</v>
      </c>
      <c r="F25">
        <v>10</v>
      </c>
      <c r="G25">
        <v>9</v>
      </c>
      <c r="H25">
        <v>0.67924528301886788</v>
      </c>
      <c r="I25">
        <v>1</v>
      </c>
      <c r="J25">
        <v>1.4905660377358489</v>
      </c>
      <c r="K25">
        <v>1.4905660377358489</v>
      </c>
      <c r="L25">
        <v>5.8888888888888893</v>
      </c>
      <c r="M25">
        <v>8</v>
      </c>
      <c r="N25">
        <v>1</v>
      </c>
      <c r="O25">
        <v>2</v>
      </c>
      <c r="P25">
        <v>79</v>
      </c>
      <c r="Q25">
        <v>53</v>
      </c>
      <c r="R25">
        <v>9</v>
      </c>
      <c r="S25">
        <v>10</v>
      </c>
      <c r="T25">
        <v>451</v>
      </c>
      <c r="U25">
        <v>74</v>
      </c>
      <c r="V25">
        <v>36</v>
      </c>
      <c r="W25">
        <v>79</v>
      </c>
    </row>
    <row r="26" spans="1:23" x14ac:dyDescent="0.2">
      <c r="A26" t="s">
        <v>184</v>
      </c>
      <c r="B26" t="s">
        <v>157</v>
      </c>
      <c r="C26">
        <v>200.51448130607599</v>
      </c>
      <c r="D26">
        <v>710</v>
      </c>
      <c r="E26">
        <v>1284</v>
      </c>
      <c r="F26">
        <v>9</v>
      </c>
      <c r="G26">
        <v>8</v>
      </c>
      <c r="H26">
        <v>1.5166666666666671</v>
      </c>
      <c r="I26">
        <v>1.122222222222222</v>
      </c>
      <c r="J26">
        <v>1.6833333333333329</v>
      </c>
      <c r="K26">
        <v>1.5</v>
      </c>
      <c r="L26">
        <v>7.5</v>
      </c>
      <c r="M26">
        <v>2</v>
      </c>
      <c r="N26">
        <v>2</v>
      </c>
      <c r="O26">
        <v>2</v>
      </c>
      <c r="P26">
        <v>90</v>
      </c>
      <c r="Q26">
        <v>60</v>
      </c>
      <c r="R26">
        <v>8</v>
      </c>
      <c r="S26">
        <v>17</v>
      </c>
      <c r="T26">
        <v>919</v>
      </c>
      <c r="U26">
        <v>121</v>
      </c>
      <c r="V26">
        <v>91</v>
      </c>
      <c r="W26">
        <v>101</v>
      </c>
    </row>
    <row r="27" spans="1:23" x14ac:dyDescent="0.2">
      <c r="A27" t="s">
        <v>185</v>
      </c>
      <c r="B27" t="s">
        <v>157</v>
      </c>
      <c r="C27">
        <v>196.69061470031741</v>
      </c>
      <c r="D27">
        <v>618</v>
      </c>
      <c r="E27">
        <v>1256</v>
      </c>
      <c r="F27">
        <v>9</v>
      </c>
      <c r="G27">
        <v>8</v>
      </c>
      <c r="H27">
        <v>1.55</v>
      </c>
      <c r="I27">
        <v>1.1208791208791209</v>
      </c>
      <c r="J27">
        <v>1.7</v>
      </c>
      <c r="K27">
        <v>1.5166666666666671</v>
      </c>
      <c r="L27">
        <v>7.5</v>
      </c>
      <c r="M27">
        <v>2</v>
      </c>
      <c r="N27">
        <v>2</v>
      </c>
      <c r="O27">
        <v>2</v>
      </c>
      <c r="P27">
        <v>91</v>
      </c>
      <c r="Q27">
        <v>60</v>
      </c>
      <c r="R27">
        <v>8</v>
      </c>
      <c r="S27">
        <v>17</v>
      </c>
      <c r="T27">
        <v>918</v>
      </c>
      <c r="U27">
        <v>121</v>
      </c>
      <c r="V27">
        <v>93</v>
      </c>
      <c r="W27">
        <v>102</v>
      </c>
    </row>
    <row r="28" spans="1:23" x14ac:dyDescent="0.2">
      <c r="A28" t="s">
        <v>186</v>
      </c>
      <c r="B28" t="s">
        <v>158</v>
      </c>
      <c r="C28" t="s">
        <v>159</v>
      </c>
      <c r="D28" t="s">
        <v>159</v>
      </c>
      <c r="E28" t="s">
        <v>159</v>
      </c>
      <c r="F28" t="s">
        <v>159</v>
      </c>
      <c r="G28" t="s">
        <v>159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23" x14ac:dyDescent="0.2">
      <c r="A29" t="s">
        <v>187</v>
      </c>
      <c r="B29" t="s">
        <v>157</v>
      </c>
      <c r="C29">
        <v>17.393916130065922</v>
      </c>
      <c r="D29">
        <v>15381</v>
      </c>
      <c r="E29">
        <v>33808</v>
      </c>
      <c r="F29">
        <v>17</v>
      </c>
      <c r="G29">
        <v>16</v>
      </c>
      <c r="H29">
        <v>0</v>
      </c>
      <c r="I29">
        <v>1.032520325203252</v>
      </c>
      <c r="J29">
        <v>1.984375</v>
      </c>
      <c r="K29">
        <v>1.921875</v>
      </c>
      <c r="L29">
        <v>4</v>
      </c>
      <c r="M29">
        <v>0</v>
      </c>
      <c r="N29">
        <v>2</v>
      </c>
      <c r="O29">
        <v>2</v>
      </c>
      <c r="P29">
        <v>123</v>
      </c>
      <c r="Q29">
        <v>64</v>
      </c>
      <c r="R29">
        <v>16</v>
      </c>
      <c r="S29">
        <v>21</v>
      </c>
      <c r="T29">
        <v>1217</v>
      </c>
      <c r="U29">
        <v>304</v>
      </c>
      <c r="V29">
        <v>0</v>
      </c>
      <c r="W29">
        <v>127</v>
      </c>
    </row>
    <row r="30" spans="1:23" x14ac:dyDescent="0.2">
      <c r="A30" t="s">
        <v>188</v>
      </c>
      <c r="B30" t="s">
        <v>158</v>
      </c>
      <c r="C30" t="s">
        <v>159</v>
      </c>
      <c r="D30" t="s">
        <v>159</v>
      </c>
      <c r="E30" t="s">
        <v>159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  <c r="M30" t="s">
        <v>159</v>
      </c>
      <c r="N30" t="s">
        <v>159</v>
      </c>
      <c r="O30" t="s">
        <v>159</v>
      </c>
      <c r="P30" t="s">
        <v>159</v>
      </c>
      <c r="Q30" t="s">
        <v>159</v>
      </c>
      <c r="R30" t="s">
        <v>159</v>
      </c>
      <c r="S30" t="s">
        <v>159</v>
      </c>
      <c r="T30" t="s">
        <v>159</v>
      </c>
      <c r="U30" t="s">
        <v>159</v>
      </c>
      <c r="V30" t="s">
        <v>159</v>
      </c>
      <c r="W30" t="s">
        <v>159</v>
      </c>
    </row>
    <row r="31" spans="1:23" x14ac:dyDescent="0.2">
      <c r="A31" t="s">
        <v>189</v>
      </c>
      <c r="B31" t="s">
        <v>157</v>
      </c>
      <c r="C31">
        <v>25.54263257980347</v>
      </c>
      <c r="D31">
        <v>460</v>
      </c>
      <c r="E31">
        <v>508</v>
      </c>
      <c r="F31">
        <v>9</v>
      </c>
      <c r="G31">
        <v>8</v>
      </c>
      <c r="H31">
        <v>0.67441860465116277</v>
      </c>
      <c r="I31">
        <v>1</v>
      </c>
      <c r="J31">
        <v>1.930232558139535</v>
      </c>
      <c r="K31">
        <v>1.930232558139535</v>
      </c>
      <c r="L31">
        <v>5.375</v>
      </c>
      <c r="M31">
        <v>7</v>
      </c>
      <c r="N31">
        <v>1</v>
      </c>
      <c r="O31">
        <v>3</v>
      </c>
      <c r="P31">
        <v>83</v>
      </c>
      <c r="Q31">
        <v>43</v>
      </c>
      <c r="R31">
        <v>8</v>
      </c>
      <c r="S31">
        <v>9</v>
      </c>
      <c r="T31">
        <v>304</v>
      </c>
      <c r="U31">
        <v>52</v>
      </c>
      <c r="V31">
        <v>29</v>
      </c>
      <c r="W31">
        <v>83</v>
      </c>
    </row>
    <row r="32" spans="1:23" x14ac:dyDescent="0.2">
      <c r="A32" t="s">
        <v>190</v>
      </c>
      <c r="B32" t="s">
        <v>157</v>
      </c>
      <c r="C32">
        <v>11.300312280654911</v>
      </c>
      <c r="D32">
        <v>133</v>
      </c>
      <c r="E32">
        <v>899</v>
      </c>
      <c r="F32">
        <v>8</v>
      </c>
      <c r="G32">
        <v>6</v>
      </c>
      <c r="H32">
        <v>0</v>
      </c>
      <c r="I32">
        <v>1.055555555555556</v>
      </c>
      <c r="J32">
        <v>2.96875</v>
      </c>
      <c r="K32">
        <v>2.8125</v>
      </c>
      <c r="L32">
        <v>5.333333333333333</v>
      </c>
      <c r="M32">
        <v>0</v>
      </c>
      <c r="N32">
        <v>6</v>
      </c>
      <c r="O32">
        <v>5</v>
      </c>
      <c r="P32">
        <v>90</v>
      </c>
      <c r="Q32">
        <v>32</v>
      </c>
      <c r="R32">
        <v>6</v>
      </c>
      <c r="S32">
        <v>13</v>
      </c>
      <c r="T32">
        <v>321</v>
      </c>
      <c r="U32">
        <v>57</v>
      </c>
      <c r="V32">
        <v>0</v>
      </c>
      <c r="W32">
        <v>95</v>
      </c>
    </row>
    <row r="33" spans="1:23" x14ac:dyDescent="0.2">
      <c r="A33" t="s">
        <v>191</v>
      </c>
      <c r="B33" t="s">
        <v>157</v>
      </c>
      <c r="C33">
        <v>2.7906217575073242</v>
      </c>
      <c r="D33">
        <v>161</v>
      </c>
      <c r="E33">
        <v>136</v>
      </c>
      <c r="F33">
        <v>7</v>
      </c>
      <c r="G33">
        <v>6</v>
      </c>
      <c r="H33">
        <v>2.3374999999999999</v>
      </c>
      <c r="I33">
        <v>1.2032520325203251</v>
      </c>
      <c r="J33">
        <v>1.85</v>
      </c>
      <c r="K33">
        <v>1.5375000000000001</v>
      </c>
      <c r="L33">
        <v>13.33333333333333</v>
      </c>
      <c r="M33">
        <v>12</v>
      </c>
      <c r="N33">
        <v>2</v>
      </c>
      <c r="O33">
        <v>2</v>
      </c>
      <c r="P33">
        <v>123</v>
      </c>
      <c r="Q33">
        <v>80</v>
      </c>
      <c r="R33">
        <v>6</v>
      </c>
      <c r="S33">
        <v>8</v>
      </c>
      <c r="T33">
        <v>492</v>
      </c>
      <c r="U33">
        <v>32</v>
      </c>
      <c r="V33">
        <v>187</v>
      </c>
      <c r="W33">
        <v>148</v>
      </c>
    </row>
    <row r="34" spans="1:23" x14ac:dyDescent="0.2">
      <c r="A34" t="s">
        <v>192</v>
      </c>
      <c r="B34" t="s">
        <v>157</v>
      </c>
      <c r="C34">
        <v>78.884206056594849</v>
      </c>
      <c r="D34">
        <v>1878</v>
      </c>
      <c r="E34">
        <v>4514</v>
      </c>
      <c r="F34">
        <v>10</v>
      </c>
      <c r="G34">
        <v>9</v>
      </c>
      <c r="H34">
        <v>0.67924528301886788</v>
      </c>
      <c r="I34">
        <v>1</v>
      </c>
      <c r="J34">
        <v>1.4905660377358489</v>
      </c>
      <c r="K34">
        <v>1.4905660377358489</v>
      </c>
      <c r="L34">
        <v>5.8888888888888893</v>
      </c>
      <c r="M34">
        <v>8</v>
      </c>
      <c r="N34">
        <v>1</v>
      </c>
      <c r="O34">
        <v>2</v>
      </c>
      <c r="P34">
        <v>79</v>
      </c>
      <c r="Q34">
        <v>53</v>
      </c>
      <c r="R34">
        <v>9</v>
      </c>
      <c r="S34">
        <v>10</v>
      </c>
      <c r="T34">
        <v>451</v>
      </c>
      <c r="U34">
        <v>74</v>
      </c>
      <c r="V34">
        <v>36</v>
      </c>
      <c r="W34">
        <v>79</v>
      </c>
    </row>
    <row r="35" spans="1:23" x14ac:dyDescent="0.2">
      <c r="A35" t="s">
        <v>193</v>
      </c>
      <c r="B35" t="s">
        <v>157</v>
      </c>
      <c r="C35">
        <v>926.92962908744801</v>
      </c>
      <c r="D35">
        <v>2452</v>
      </c>
      <c r="E35">
        <v>3973</v>
      </c>
      <c r="F35">
        <v>10</v>
      </c>
      <c r="G35">
        <v>9</v>
      </c>
      <c r="H35">
        <v>0.69811320754716977</v>
      </c>
      <c r="I35">
        <v>1</v>
      </c>
      <c r="J35">
        <v>2.0188679245283021</v>
      </c>
      <c r="K35">
        <v>2.0188679245283021</v>
      </c>
      <c r="L35">
        <v>5.8888888888888893</v>
      </c>
      <c r="M35">
        <v>8</v>
      </c>
      <c r="N35">
        <v>1</v>
      </c>
      <c r="O35">
        <v>3</v>
      </c>
      <c r="P35">
        <v>107</v>
      </c>
      <c r="Q35">
        <v>53</v>
      </c>
      <c r="R35">
        <v>9</v>
      </c>
      <c r="S35">
        <v>10</v>
      </c>
      <c r="T35">
        <v>423</v>
      </c>
      <c r="U35">
        <v>66</v>
      </c>
      <c r="V35">
        <v>37</v>
      </c>
      <c r="W35">
        <v>107</v>
      </c>
    </row>
    <row r="36" spans="1:23" x14ac:dyDescent="0.2">
      <c r="A36" t="s">
        <v>194</v>
      </c>
      <c r="B36" t="s">
        <v>158</v>
      </c>
      <c r="C36" t="s">
        <v>159</v>
      </c>
      <c r="D36" t="s">
        <v>159</v>
      </c>
      <c r="E36" t="s">
        <v>159</v>
      </c>
      <c r="F36" t="s">
        <v>159</v>
      </c>
      <c r="G36" t="s">
        <v>159</v>
      </c>
      <c r="H36" t="s">
        <v>159</v>
      </c>
      <c r="I36" t="s">
        <v>159</v>
      </c>
      <c r="J36" t="s">
        <v>159</v>
      </c>
      <c r="K36" t="s">
        <v>159</v>
      </c>
      <c r="L36" t="s">
        <v>159</v>
      </c>
      <c r="M36" t="s">
        <v>159</v>
      </c>
      <c r="N36" t="s">
        <v>159</v>
      </c>
      <c r="O36" t="s">
        <v>159</v>
      </c>
      <c r="P36" t="s">
        <v>159</v>
      </c>
      <c r="Q36" t="s">
        <v>159</v>
      </c>
      <c r="R36" t="s">
        <v>159</v>
      </c>
      <c r="S36" t="s">
        <v>159</v>
      </c>
      <c r="T36" t="s">
        <v>159</v>
      </c>
      <c r="U36" t="s">
        <v>159</v>
      </c>
      <c r="V36" t="s">
        <v>159</v>
      </c>
      <c r="W36" t="s">
        <v>159</v>
      </c>
    </row>
    <row r="37" spans="1:23" x14ac:dyDescent="0.2">
      <c r="A37" t="s">
        <v>195</v>
      </c>
      <c r="B37" t="s">
        <v>157</v>
      </c>
      <c r="C37">
        <v>3.242877721786499</v>
      </c>
      <c r="D37">
        <v>164</v>
      </c>
      <c r="E37">
        <v>1310</v>
      </c>
      <c r="F37">
        <v>8</v>
      </c>
      <c r="G37">
        <v>6</v>
      </c>
      <c r="H37">
        <v>0</v>
      </c>
      <c r="I37">
        <v>1.056179775280899</v>
      </c>
      <c r="J37">
        <v>2.9375</v>
      </c>
      <c r="K37">
        <v>2.78125</v>
      </c>
      <c r="L37">
        <v>5.333333333333333</v>
      </c>
      <c r="M37">
        <v>0</v>
      </c>
      <c r="N37">
        <v>6</v>
      </c>
      <c r="O37">
        <v>5</v>
      </c>
      <c r="P37">
        <v>89</v>
      </c>
      <c r="Q37">
        <v>32</v>
      </c>
      <c r="R37">
        <v>6</v>
      </c>
      <c r="S37">
        <v>13</v>
      </c>
      <c r="T37">
        <v>322</v>
      </c>
      <c r="U37">
        <v>57</v>
      </c>
      <c r="V37">
        <v>0</v>
      </c>
      <c r="W37">
        <v>94</v>
      </c>
    </row>
    <row r="38" spans="1:23" x14ac:dyDescent="0.2">
      <c r="A38" t="s">
        <v>196</v>
      </c>
      <c r="B38" t="s">
        <v>157</v>
      </c>
      <c r="C38">
        <v>5707.9575774669647</v>
      </c>
      <c r="D38">
        <v>5368</v>
      </c>
      <c r="E38">
        <v>19324</v>
      </c>
      <c r="F38">
        <v>13</v>
      </c>
      <c r="G38">
        <v>12</v>
      </c>
      <c r="H38">
        <v>5375.391304347826</v>
      </c>
      <c r="I38">
        <v>1.2068965517241379</v>
      </c>
      <c r="J38">
        <v>1.5217391304347829</v>
      </c>
      <c r="K38">
        <v>1.2608695652173909</v>
      </c>
      <c r="L38">
        <v>3.833333333333333</v>
      </c>
      <c r="M38">
        <v>39701</v>
      </c>
      <c r="N38">
        <v>2</v>
      </c>
      <c r="O38">
        <v>3</v>
      </c>
      <c r="P38">
        <v>58</v>
      </c>
      <c r="Q38">
        <v>46</v>
      </c>
      <c r="R38">
        <v>12</v>
      </c>
      <c r="S38">
        <v>25</v>
      </c>
      <c r="T38">
        <v>1080</v>
      </c>
      <c r="U38">
        <v>275</v>
      </c>
      <c r="V38">
        <v>247268</v>
      </c>
      <c r="W38">
        <v>70</v>
      </c>
    </row>
    <row r="39" spans="1:23" x14ac:dyDescent="0.2">
      <c r="A39" t="s">
        <v>197</v>
      </c>
      <c r="B39" t="s">
        <v>157</v>
      </c>
      <c r="C39">
        <v>385.9078991413117</v>
      </c>
      <c r="D39">
        <v>699</v>
      </c>
      <c r="E39">
        <v>1637</v>
      </c>
      <c r="F39">
        <v>9</v>
      </c>
      <c r="G39">
        <v>8</v>
      </c>
      <c r="H39">
        <v>1.55</v>
      </c>
      <c r="I39">
        <v>1.1208791208791209</v>
      </c>
      <c r="J39">
        <v>1.7</v>
      </c>
      <c r="K39">
        <v>1.5166666666666671</v>
      </c>
      <c r="L39">
        <v>7.5</v>
      </c>
      <c r="M39">
        <v>2</v>
      </c>
      <c r="N39">
        <v>2</v>
      </c>
      <c r="O39">
        <v>2</v>
      </c>
      <c r="P39">
        <v>91</v>
      </c>
      <c r="Q39">
        <v>60</v>
      </c>
      <c r="R39">
        <v>8</v>
      </c>
      <c r="S39">
        <v>17</v>
      </c>
      <c r="T39">
        <v>918</v>
      </c>
      <c r="U39">
        <v>121</v>
      </c>
      <c r="V39">
        <v>93</v>
      </c>
      <c r="W39">
        <v>102</v>
      </c>
    </row>
    <row r="40" spans="1:23" x14ac:dyDescent="0.2">
      <c r="A40" t="s">
        <v>198</v>
      </c>
      <c r="B40" t="s">
        <v>157</v>
      </c>
      <c r="C40">
        <v>12.110309839248661</v>
      </c>
      <c r="D40">
        <v>411</v>
      </c>
      <c r="E40">
        <v>662</v>
      </c>
      <c r="F40">
        <v>7</v>
      </c>
      <c r="G40">
        <v>6</v>
      </c>
      <c r="H40">
        <v>6.4705882352941178</v>
      </c>
      <c r="I40">
        <v>1.384615384615385</v>
      </c>
      <c r="J40">
        <v>1.7647058823529409</v>
      </c>
      <c r="K40">
        <v>1.2745098039215681</v>
      </c>
      <c r="L40">
        <v>8.5</v>
      </c>
      <c r="M40">
        <v>50</v>
      </c>
      <c r="N40">
        <v>2</v>
      </c>
      <c r="O40">
        <v>2</v>
      </c>
      <c r="P40">
        <v>65</v>
      </c>
      <c r="Q40">
        <v>51</v>
      </c>
      <c r="R40">
        <v>6</v>
      </c>
      <c r="S40">
        <v>13</v>
      </c>
      <c r="T40">
        <v>573</v>
      </c>
      <c r="U40">
        <v>66</v>
      </c>
      <c r="V40">
        <v>330</v>
      </c>
      <c r="W40">
        <v>90</v>
      </c>
    </row>
    <row r="41" spans="1:23" x14ac:dyDescent="0.2">
      <c r="A41" t="s">
        <v>199</v>
      </c>
      <c r="B41" t="s">
        <v>157</v>
      </c>
      <c r="C41">
        <v>2924.2213892936711</v>
      </c>
      <c r="D41">
        <v>2486</v>
      </c>
      <c r="E41">
        <v>3974</v>
      </c>
      <c r="F41">
        <v>10</v>
      </c>
      <c r="G41">
        <v>9</v>
      </c>
      <c r="H41">
        <v>0.69811320754716977</v>
      </c>
      <c r="I41">
        <v>1</v>
      </c>
      <c r="J41">
        <v>1.8867924528301889</v>
      </c>
      <c r="K41">
        <v>1.8867924528301889</v>
      </c>
      <c r="L41">
        <v>5.8888888888888893</v>
      </c>
      <c r="M41">
        <v>8</v>
      </c>
      <c r="N41">
        <v>1</v>
      </c>
      <c r="O41">
        <v>3</v>
      </c>
      <c r="P41">
        <v>100</v>
      </c>
      <c r="Q41">
        <v>53</v>
      </c>
      <c r="R41">
        <v>9</v>
      </c>
      <c r="S41">
        <v>10</v>
      </c>
      <c r="T41">
        <v>430</v>
      </c>
      <c r="U41">
        <v>66</v>
      </c>
      <c r="V41">
        <v>37</v>
      </c>
      <c r="W41">
        <v>100</v>
      </c>
    </row>
    <row r="42" spans="1:23" x14ac:dyDescent="0.2">
      <c r="A42" t="s">
        <v>200</v>
      </c>
      <c r="B42" t="s">
        <v>157</v>
      </c>
      <c r="C42">
        <v>24.34632587432861</v>
      </c>
      <c r="D42">
        <v>331</v>
      </c>
      <c r="E42">
        <v>517</v>
      </c>
      <c r="F42">
        <v>9</v>
      </c>
      <c r="G42">
        <v>8</v>
      </c>
      <c r="H42">
        <v>128.41176470588229</v>
      </c>
      <c r="I42">
        <v>1.054945054945055</v>
      </c>
      <c r="J42">
        <v>1.8823529411764699</v>
      </c>
      <c r="K42">
        <v>1.784313725490196</v>
      </c>
      <c r="L42">
        <v>6.375</v>
      </c>
      <c r="M42">
        <v>1056</v>
      </c>
      <c r="N42">
        <v>2</v>
      </c>
      <c r="O42">
        <v>3</v>
      </c>
      <c r="P42">
        <v>91</v>
      </c>
      <c r="Q42">
        <v>51</v>
      </c>
      <c r="R42">
        <v>8</v>
      </c>
      <c r="S42">
        <v>10</v>
      </c>
      <c r="T42">
        <v>414</v>
      </c>
      <c r="U42">
        <v>62</v>
      </c>
      <c r="V42">
        <v>6549</v>
      </c>
      <c r="W42">
        <v>96</v>
      </c>
    </row>
    <row r="43" spans="1:23" x14ac:dyDescent="0.2">
      <c r="A43" t="s">
        <v>201</v>
      </c>
      <c r="B43" t="s">
        <v>157</v>
      </c>
      <c r="C43">
        <v>4.9421157836914062</v>
      </c>
      <c r="D43">
        <v>112</v>
      </c>
      <c r="E43">
        <v>1254</v>
      </c>
      <c r="F43">
        <v>6</v>
      </c>
      <c r="G43">
        <v>4</v>
      </c>
      <c r="H43">
        <v>1.470588235294118</v>
      </c>
      <c r="I43">
        <v>1.5</v>
      </c>
      <c r="J43">
        <v>2.117647058823529</v>
      </c>
      <c r="K43">
        <v>1.411764705882353</v>
      </c>
      <c r="L43">
        <v>4.25</v>
      </c>
      <c r="M43">
        <v>6</v>
      </c>
      <c r="N43">
        <v>3</v>
      </c>
      <c r="O43">
        <v>3</v>
      </c>
      <c r="P43">
        <v>24</v>
      </c>
      <c r="Q43">
        <v>17</v>
      </c>
      <c r="R43">
        <v>4</v>
      </c>
      <c r="S43">
        <v>12</v>
      </c>
      <c r="T43">
        <v>168</v>
      </c>
      <c r="U43">
        <v>35</v>
      </c>
      <c r="V43">
        <v>25</v>
      </c>
      <c r="W43">
        <v>36</v>
      </c>
    </row>
    <row r="44" spans="1:23" x14ac:dyDescent="0.2">
      <c r="A44" t="s">
        <v>202</v>
      </c>
      <c r="B44" t="s">
        <v>157</v>
      </c>
      <c r="C44">
        <v>286.95145583152771</v>
      </c>
      <c r="D44">
        <v>170</v>
      </c>
      <c r="E44">
        <v>8357</v>
      </c>
      <c r="F44">
        <v>7</v>
      </c>
      <c r="G44">
        <v>4</v>
      </c>
      <c r="H44">
        <v>9</v>
      </c>
      <c r="I44">
        <v>1.142857142857143</v>
      </c>
      <c r="J44">
        <v>4</v>
      </c>
      <c r="K44">
        <v>3.5</v>
      </c>
      <c r="L44">
        <v>24</v>
      </c>
      <c r="M44">
        <v>24</v>
      </c>
      <c r="N44">
        <v>2</v>
      </c>
      <c r="O44">
        <v>5</v>
      </c>
      <c r="P44">
        <v>336</v>
      </c>
      <c r="Q44">
        <v>96</v>
      </c>
      <c r="R44">
        <v>4</v>
      </c>
      <c r="S44">
        <v>11</v>
      </c>
      <c r="T44">
        <v>672</v>
      </c>
      <c r="U44">
        <v>20</v>
      </c>
      <c r="V44">
        <v>864</v>
      </c>
      <c r="W44">
        <v>384</v>
      </c>
    </row>
    <row r="45" spans="1:23" x14ac:dyDescent="0.2">
      <c r="A45" t="s">
        <v>203</v>
      </c>
      <c r="B45" t="s">
        <v>157</v>
      </c>
      <c r="C45">
        <v>7.3890202045440674</v>
      </c>
      <c r="D45">
        <v>7590</v>
      </c>
      <c r="E45">
        <v>10576</v>
      </c>
      <c r="F45">
        <v>17</v>
      </c>
      <c r="G45">
        <v>16</v>
      </c>
      <c r="H45">
        <v>0</v>
      </c>
      <c r="I45">
        <v>1.032520325203252</v>
      </c>
      <c r="J45">
        <v>1.984375</v>
      </c>
      <c r="K45">
        <v>1.921875</v>
      </c>
      <c r="L45">
        <v>4</v>
      </c>
      <c r="M45">
        <v>0</v>
      </c>
      <c r="N45">
        <v>2</v>
      </c>
      <c r="O45">
        <v>2</v>
      </c>
      <c r="P45">
        <v>123</v>
      </c>
      <c r="Q45">
        <v>64</v>
      </c>
      <c r="R45">
        <v>16</v>
      </c>
      <c r="S45">
        <v>21</v>
      </c>
      <c r="T45">
        <v>1217</v>
      </c>
      <c r="U45">
        <v>304</v>
      </c>
      <c r="V45">
        <v>0</v>
      </c>
      <c r="W45">
        <v>127</v>
      </c>
    </row>
    <row r="46" spans="1:23" x14ac:dyDescent="0.2">
      <c r="A46" t="s">
        <v>204</v>
      </c>
      <c r="B46" t="s">
        <v>157</v>
      </c>
      <c r="C46">
        <v>112.50935077667241</v>
      </c>
      <c r="D46">
        <v>722</v>
      </c>
      <c r="E46">
        <v>991</v>
      </c>
      <c r="F46">
        <v>11</v>
      </c>
      <c r="G46">
        <v>10</v>
      </c>
      <c r="H46">
        <v>149.875</v>
      </c>
      <c r="I46">
        <v>1</v>
      </c>
      <c r="J46">
        <v>1.5249999999999999</v>
      </c>
      <c r="K46">
        <v>1.5249999999999999</v>
      </c>
      <c r="L46">
        <v>4</v>
      </c>
      <c r="M46">
        <v>855</v>
      </c>
      <c r="N46">
        <v>1</v>
      </c>
      <c r="O46">
        <v>2</v>
      </c>
      <c r="P46">
        <v>61</v>
      </c>
      <c r="Q46">
        <v>40</v>
      </c>
      <c r="R46">
        <v>10</v>
      </c>
      <c r="S46">
        <v>11</v>
      </c>
      <c r="T46">
        <v>379</v>
      </c>
      <c r="U46">
        <v>92</v>
      </c>
      <c r="V46">
        <v>5995</v>
      </c>
      <c r="W46">
        <v>61</v>
      </c>
    </row>
    <row r="47" spans="1:23" x14ac:dyDescent="0.2">
      <c r="A47" t="s">
        <v>205</v>
      </c>
      <c r="B47" t="s">
        <v>157</v>
      </c>
      <c r="C47">
        <v>2769.9431343078609</v>
      </c>
      <c r="D47">
        <v>2215</v>
      </c>
      <c r="E47">
        <v>3825</v>
      </c>
      <c r="F47">
        <v>10</v>
      </c>
      <c r="G47">
        <v>9</v>
      </c>
      <c r="H47">
        <v>57854145192165.117</v>
      </c>
      <c r="I47">
        <v>1.029126213592233</v>
      </c>
      <c r="J47">
        <v>2.058252427184466</v>
      </c>
      <c r="K47">
        <v>2</v>
      </c>
      <c r="L47">
        <v>11.444444444444439</v>
      </c>
      <c r="M47">
        <v>1212982689600000</v>
      </c>
      <c r="N47">
        <v>2</v>
      </c>
      <c r="O47">
        <v>4</v>
      </c>
      <c r="P47">
        <v>206</v>
      </c>
      <c r="Q47">
        <v>103</v>
      </c>
      <c r="R47">
        <v>9</v>
      </c>
      <c r="S47">
        <v>19</v>
      </c>
      <c r="T47">
        <v>1745</v>
      </c>
      <c r="U47">
        <v>144</v>
      </c>
      <c r="V47">
        <v>5958976954793007</v>
      </c>
      <c r="W47">
        <v>212</v>
      </c>
    </row>
    <row r="48" spans="1:23" x14ac:dyDescent="0.2">
      <c r="A48" t="s">
        <v>206</v>
      </c>
      <c r="B48" t="s">
        <v>157</v>
      </c>
      <c r="C48">
        <v>23.346485376358029</v>
      </c>
      <c r="D48">
        <v>266</v>
      </c>
      <c r="E48">
        <v>371</v>
      </c>
      <c r="F48">
        <v>8</v>
      </c>
      <c r="G48">
        <v>7</v>
      </c>
      <c r="H48">
        <v>1.5106382978723401</v>
      </c>
      <c r="I48">
        <v>1.130434782608696</v>
      </c>
      <c r="J48">
        <v>1.6595744680851059</v>
      </c>
      <c r="K48">
        <v>1.468085106382979</v>
      </c>
      <c r="L48">
        <v>6.7142857142857144</v>
      </c>
      <c r="M48">
        <v>2</v>
      </c>
      <c r="N48">
        <v>2</v>
      </c>
      <c r="O48">
        <v>2</v>
      </c>
      <c r="P48">
        <v>69</v>
      </c>
      <c r="Q48">
        <v>47</v>
      </c>
      <c r="R48">
        <v>7</v>
      </c>
      <c r="S48">
        <v>15</v>
      </c>
      <c r="T48">
        <v>627</v>
      </c>
      <c r="U48">
        <v>92</v>
      </c>
      <c r="V48">
        <v>71</v>
      </c>
      <c r="W48">
        <v>78</v>
      </c>
    </row>
    <row r="49" spans="1:23" x14ac:dyDescent="0.2">
      <c r="A49" t="s">
        <v>207</v>
      </c>
      <c r="B49" t="s">
        <v>157</v>
      </c>
      <c r="C49">
        <v>2.246543169021606</v>
      </c>
      <c r="D49">
        <v>252</v>
      </c>
      <c r="E49">
        <v>497</v>
      </c>
      <c r="F49">
        <v>11</v>
      </c>
      <c r="G49">
        <v>9</v>
      </c>
      <c r="H49">
        <v>2.7162162162162158</v>
      </c>
      <c r="I49">
        <v>1</v>
      </c>
      <c r="J49">
        <v>1.459459459459459</v>
      </c>
      <c r="K49">
        <v>1.459459459459459</v>
      </c>
      <c r="L49">
        <v>8.2222222222222214</v>
      </c>
      <c r="M49">
        <v>4</v>
      </c>
      <c r="N49">
        <v>1</v>
      </c>
      <c r="O49">
        <v>2</v>
      </c>
      <c r="P49">
        <v>108</v>
      </c>
      <c r="Q49">
        <v>74</v>
      </c>
      <c r="R49">
        <v>9</v>
      </c>
      <c r="S49">
        <v>11</v>
      </c>
      <c r="T49">
        <v>706</v>
      </c>
      <c r="U49">
        <v>83</v>
      </c>
      <c r="V49">
        <v>201</v>
      </c>
      <c r="W49">
        <v>108</v>
      </c>
    </row>
    <row r="50" spans="1:23" x14ac:dyDescent="0.2">
      <c r="A50" t="s">
        <v>208</v>
      </c>
      <c r="B50" t="s">
        <v>157</v>
      </c>
      <c r="C50">
        <v>785.80520081520081</v>
      </c>
      <c r="D50">
        <v>680</v>
      </c>
      <c r="E50">
        <v>3843</v>
      </c>
      <c r="F50">
        <v>7</v>
      </c>
      <c r="G50">
        <v>6</v>
      </c>
      <c r="H50">
        <v>6.25E-2</v>
      </c>
      <c r="I50">
        <v>0.98571428571428577</v>
      </c>
      <c r="J50">
        <v>2.15625</v>
      </c>
      <c r="K50">
        <v>2.1875</v>
      </c>
      <c r="L50">
        <v>5.333333333333333</v>
      </c>
      <c r="M50">
        <v>1</v>
      </c>
      <c r="N50">
        <v>1</v>
      </c>
      <c r="O50">
        <v>5</v>
      </c>
      <c r="P50">
        <v>70</v>
      </c>
      <c r="Q50">
        <v>32</v>
      </c>
      <c r="R50">
        <v>6</v>
      </c>
      <c r="S50">
        <v>6</v>
      </c>
      <c r="T50">
        <v>123</v>
      </c>
      <c r="U50">
        <v>18</v>
      </c>
      <c r="V50">
        <v>2</v>
      </c>
      <c r="W50">
        <v>69</v>
      </c>
    </row>
    <row r="51" spans="1:23" x14ac:dyDescent="0.2">
      <c r="A51" t="s">
        <v>209</v>
      </c>
      <c r="B51" t="s">
        <v>157</v>
      </c>
      <c r="C51">
        <v>1509.295531272888</v>
      </c>
      <c r="D51">
        <v>91</v>
      </c>
      <c r="E51">
        <v>18778</v>
      </c>
      <c r="F51">
        <v>7</v>
      </c>
      <c r="G51">
        <v>4</v>
      </c>
      <c r="H51">
        <v>7</v>
      </c>
      <c r="I51">
        <v>1.147239263803681</v>
      </c>
      <c r="J51">
        <v>3.895833333333333</v>
      </c>
      <c r="K51">
        <v>3.395833333333333</v>
      </c>
      <c r="L51">
        <v>24</v>
      </c>
      <c r="M51">
        <v>24</v>
      </c>
      <c r="N51">
        <v>2</v>
      </c>
      <c r="O51">
        <v>5</v>
      </c>
      <c r="P51">
        <v>326</v>
      </c>
      <c r="Q51">
        <v>96</v>
      </c>
      <c r="R51">
        <v>4</v>
      </c>
      <c r="S51">
        <v>11</v>
      </c>
      <c r="T51">
        <v>682</v>
      </c>
      <c r="U51">
        <v>20</v>
      </c>
      <c r="V51">
        <v>672</v>
      </c>
      <c r="W51">
        <v>374</v>
      </c>
    </row>
    <row r="52" spans="1:23" x14ac:dyDescent="0.2">
      <c r="A52" t="s">
        <v>210</v>
      </c>
      <c r="B52" t="s">
        <v>157</v>
      </c>
      <c r="C52">
        <v>21.12645792961121</v>
      </c>
      <c r="D52">
        <v>346</v>
      </c>
      <c r="E52">
        <v>586</v>
      </c>
      <c r="F52">
        <v>9</v>
      </c>
      <c r="G52">
        <v>8</v>
      </c>
      <c r="H52">
        <v>51.352941176470587</v>
      </c>
      <c r="I52">
        <v>1.0543478260869561</v>
      </c>
      <c r="J52">
        <v>1.9019607843137261</v>
      </c>
      <c r="K52">
        <v>1.803921568627451</v>
      </c>
      <c r="L52">
        <v>6.375</v>
      </c>
      <c r="M52">
        <v>284</v>
      </c>
      <c r="N52">
        <v>2</v>
      </c>
      <c r="O52">
        <v>3</v>
      </c>
      <c r="P52">
        <v>92</v>
      </c>
      <c r="Q52">
        <v>51</v>
      </c>
      <c r="R52">
        <v>8</v>
      </c>
      <c r="S52">
        <v>10</v>
      </c>
      <c r="T52">
        <v>413</v>
      </c>
      <c r="U52">
        <v>62</v>
      </c>
      <c r="V52">
        <v>2619</v>
      </c>
      <c r="W52">
        <v>97</v>
      </c>
    </row>
    <row r="53" spans="1:23" x14ac:dyDescent="0.2">
      <c r="A53" t="s">
        <v>211</v>
      </c>
      <c r="B53" t="s">
        <v>158</v>
      </c>
      <c r="C53" t="s">
        <v>159</v>
      </c>
      <c r="D53" t="s">
        <v>159</v>
      </c>
      <c r="E53" t="s">
        <v>159</v>
      </c>
      <c r="F53" t="s">
        <v>159</v>
      </c>
      <c r="G53" t="s">
        <v>159</v>
      </c>
      <c r="H53" t="s">
        <v>159</v>
      </c>
      <c r="I53" t="s">
        <v>159</v>
      </c>
      <c r="J53" t="s">
        <v>159</v>
      </c>
      <c r="K53" t="s">
        <v>159</v>
      </c>
      <c r="L53" t="s">
        <v>159</v>
      </c>
      <c r="M53" t="s">
        <v>159</v>
      </c>
      <c r="N53" t="s">
        <v>159</v>
      </c>
      <c r="O53" t="s">
        <v>159</v>
      </c>
      <c r="P53" t="s">
        <v>159</v>
      </c>
      <c r="Q53" t="s">
        <v>159</v>
      </c>
      <c r="R53" t="s">
        <v>159</v>
      </c>
      <c r="S53" t="s">
        <v>159</v>
      </c>
      <c r="T53" t="s">
        <v>159</v>
      </c>
      <c r="U53" t="s">
        <v>159</v>
      </c>
      <c r="V53" t="s">
        <v>159</v>
      </c>
      <c r="W53" t="s">
        <v>159</v>
      </c>
    </row>
    <row r="54" spans="1:23" x14ac:dyDescent="0.2">
      <c r="A54" t="s">
        <v>212</v>
      </c>
      <c r="B54" t="s">
        <v>157</v>
      </c>
      <c r="C54">
        <v>2531.2983167171478</v>
      </c>
      <c r="D54">
        <v>2330</v>
      </c>
      <c r="E54">
        <v>4208</v>
      </c>
      <c r="F54">
        <v>10</v>
      </c>
      <c r="G54">
        <v>9</v>
      </c>
      <c r="H54">
        <v>55861738986339.883</v>
      </c>
      <c r="I54">
        <v>1.019047619047619</v>
      </c>
      <c r="J54">
        <v>2.0776699029126209</v>
      </c>
      <c r="K54">
        <v>2.0388349514563111</v>
      </c>
      <c r="L54">
        <v>11.444444444444439</v>
      </c>
      <c r="M54">
        <v>1212982689600000</v>
      </c>
      <c r="N54">
        <v>2</v>
      </c>
      <c r="O54">
        <v>4</v>
      </c>
      <c r="P54">
        <v>210</v>
      </c>
      <c r="Q54">
        <v>103</v>
      </c>
      <c r="R54">
        <v>9</v>
      </c>
      <c r="S54">
        <v>19</v>
      </c>
      <c r="T54">
        <v>1743</v>
      </c>
      <c r="U54">
        <v>144</v>
      </c>
      <c r="V54">
        <v>5753759115593007</v>
      </c>
      <c r="W54">
        <v>214</v>
      </c>
    </row>
    <row r="55" spans="1:23" x14ac:dyDescent="0.2">
      <c r="A55" t="s">
        <v>213</v>
      </c>
      <c r="B55" t="s">
        <v>158</v>
      </c>
      <c r="C55" t="s">
        <v>159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  <c r="J55" t="s">
        <v>159</v>
      </c>
      <c r="K55" t="s">
        <v>159</v>
      </c>
      <c r="L55" t="s">
        <v>159</v>
      </c>
      <c r="M55" t="s">
        <v>159</v>
      </c>
      <c r="N55" t="s">
        <v>159</v>
      </c>
      <c r="O55" t="s">
        <v>159</v>
      </c>
      <c r="P55" t="s">
        <v>159</v>
      </c>
      <c r="Q55" t="s">
        <v>159</v>
      </c>
      <c r="R55" t="s">
        <v>159</v>
      </c>
      <c r="S55" t="s">
        <v>159</v>
      </c>
      <c r="T55" t="s">
        <v>159</v>
      </c>
      <c r="U55" t="s">
        <v>159</v>
      </c>
      <c r="V55" t="s">
        <v>159</v>
      </c>
      <c r="W55" t="s">
        <v>159</v>
      </c>
    </row>
    <row r="56" spans="1:23" x14ac:dyDescent="0.2">
      <c r="A56" t="s">
        <v>214</v>
      </c>
      <c r="B56" t="s">
        <v>157</v>
      </c>
      <c r="C56">
        <v>235.99888205528259</v>
      </c>
      <c r="D56">
        <v>625</v>
      </c>
      <c r="E56">
        <v>1244</v>
      </c>
      <c r="F56">
        <v>9</v>
      </c>
      <c r="G56">
        <v>8</v>
      </c>
      <c r="H56">
        <v>1.55</v>
      </c>
      <c r="I56">
        <v>1.1208791208791209</v>
      </c>
      <c r="J56">
        <v>1.7</v>
      </c>
      <c r="K56">
        <v>1.5166666666666671</v>
      </c>
      <c r="L56">
        <v>7.5</v>
      </c>
      <c r="M56">
        <v>2</v>
      </c>
      <c r="N56">
        <v>2</v>
      </c>
      <c r="O56">
        <v>2</v>
      </c>
      <c r="P56">
        <v>91</v>
      </c>
      <c r="Q56">
        <v>60</v>
      </c>
      <c r="R56">
        <v>8</v>
      </c>
      <c r="S56">
        <v>17</v>
      </c>
      <c r="T56">
        <v>918</v>
      </c>
      <c r="U56">
        <v>121</v>
      </c>
      <c r="V56">
        <v>93</v>
      </c>
      <c r="W56">
        <v>102</v>
      </c>
    </row>
    <row r="57" spans="1:23" x14ac:dyDescent="0.2">
      <c r="A57" t="s">
        <v>215</v>
      </c>
      <c r="B57" t="s">
        <v>157</v>
      </c>
      <c r="C57">
        <v>3239.897320747375</v>
      </c>
      <c r="D57">
        <v>2902</v>
      </c>
      <c r="E57">
        <v>5424</v>
      </c>
      <c r="F57">
        <v>10</v>
      </c>
      <c r="G57">
        <v>9</v>
      </c>
      <c r="H57">
        <v>57854145192165.117</v>
      </c>
      <c r="I57">
        <v>1.029126213592233</v>
      </c>
      <c r="J57">
        <v>2.058252427184466</v>
      </c>
      <c r="K57">
        <v>2</v>
      </c>
      <c r="L57">
        <v>11.444444444444439</v>
      </c>
      <c r="M57">
        <v>1212982689600000</v>
      </c>
      <c r="N57">
        <v>2</v>
      </c>
      <c r="O57">
        <v>4</v>
      </c>
      <c r="P57">
        <v>206</v>
      </c>
      <c r="Q57">
        <v>103</v>
      </c>
      <c r="R57">
        <v>9</v>
      </c>
      <c r="S57">
        <v>19</v>
      </c>
      <c r="T57">
        <v>1745</v>
      </c>
      <c r="U57">
        <v>144</v>
      </c>
      <c r="V57">
        <v>5958976954793007</v>
      </c>
      <c r="W57">
        <v>212</v>
      </c>
    </row>
    <row r="58" spans="1:23" x14ac:dyDescent="0.2">
      <c r="A58" t="s">
        <v>216</v>
      </c>
      <c r="B58" t="s">
        <v>157</v>
      </c>
      <c r="C58">
        <v>3.1690695285797119</v>
      </c>
      <c r="D58">
        <v>136</v>
      </c>
      <c r="E58">
        <v>106</v>
      </c>
      <c r="F58">
        <v>7</v>
      </c>
      <c r="G58">
        <v>6</v>
      </c>
      <c r="H58">
        <v>2.25</v>
      </c>
      <c r="I58">
        <v>1.2032520325203251</v>
      </c>
      <c r="J58">
        <v>1.85</v>
      </c>
      <c r="K58">
        <v>1.5375000000000001</v>
      </c>
      <c r="L58">
        <v>13.33333333333333</v>
      </c>
      <c r="M58">
        <v>12</v>
      </c>
      <c r="N58">
        <v>2</v>
      </c>
      <c r="O58">
        <v>2</v>
      </c>
      <c r="P58">
        <v>123</v>
      </c>
      <c r="Q58">
        <v>80</v>
      </c>
      <c r="R58">
        <v>6</v>
      </c>
      <c r="S58">
        <v>8</v>
      </c>
      <c r="T58">
        <v>492</v>
      </c>
      <c r="U58">
        <v>32</v>
      </c>
      <c r="V58">
        <v>180</v>
      </c>
      <c r="W58">
        <v>148</v>
      </c>
    </row>
    <row r="59" spans="1:23" x14ac:dyDescent="0.2">
      <c r="A59" t="s">
        <v>217</v>
      </c>
      <c r="B59" t="s">
        <v>157</v>
      </c>
      <c r="C59">
        <v>22.862632274627689</v>
      </c>
      <c r="D59">
        <v>265</v>
      </c>
      <c r="E59">
        <v>376</v>
      </c>
      <c r="F59">
        <v>8</v>
      </c>
      <c r="G59">
        <v>7</v>
      </c>
      <c r="H59">
        <v>1.5106382978723401</v>
      </c>
      <c r="I59">
        <v>1.130434782608696</v>
      </c>
      <c r="J59">
        <v>1.6595744680851059</v>
      </c>
      <c r="K59">
        <v>1.468085106382979</v>
      </c>
      <c r="L59">
        <v>6.7142857142857144</v>
      </c>
      <c r="M59">
        <v>2</v>
      </c>
      <c r="N59">
        <v>2</v>
      </c>
      <c r="O59">
        <v>2</v>
      </c>
      <c r="P59">
        <v>69</v>
      </c>
      <c r="Q59">
        <v>47</v>
      </c>
      <c r="R59">
        <v>7</v>
      </c>
      <c r="S59">
        <v>15</v>
      </c>
      <c r="T59">
        <v>627</v>
      </c>
      <c r="U59">
        <v>92</v>
      </c>
      <c r="V59">
        <v>71</v>
      </c>
      <c r="W59">
        <v>78</v>
      </c>
    </row>
    <row r="60" spans="1:23" x14ac:dyDescent="0.2">
      <c r="A60" t="s">
        <v>218</v>
      </c>
      <c r="B60" t="s">
        <v>157</v>
      </c>
      <c r="C60">
        <v>8.0001709461212158</v>
      </c>
      <c r="D60">
        <v>612</v>
      </c>
      <c r="E60">
        <v>513</v>
      </c>
      <c r="F60">
        <v>11</v>
      </c>
      <c r="G60">
        <v>10</v>
      </c>
      <c r="H60">
        <v>67.575000000000003</v>
      </c>
      <c r="I60">
        <v>1</v>
      </c>
      <c r="J60">
        <v>1.5249999999999999</v>
      </c>
      <c r="K60">
        <v>1.5249999999999999</v>
      </c>
      <c r="L60">
        <v>4</v>
      </c>
      <c r="M60">
        <v>595</v>
      </c>
      <c r="N60">
        <v>1</v>
      </c>
      <c r="O60">
        <v>2</v>
      </c>
      <c r="P60">
        <v>61</v>
      </c>
      <c r="Q60">
        <v>40</v>
      </c>
      <c r="R60">
        <v>10</v>
      </c>
      <c r="S60">
        <v>11</v>
      </c>
      <c r="T60">
        <v>379</v>
      </c>
      <c r="U60">
        <v>92</v>
      </c>
      <c r="V60">
        <v>2703</v>
      </c>
      <c r="W60">
        <v>61</v>
      </c>
    </row>
    <row r="61" spans="1:23" x14ac:dyDescent="0.2">
      <c r="A61" t="s">
        <v>219</v>
      </c>
      <c r="B61" t="s">
        <v>157</v>
      </c>
      <c r="C61">
        <v>3.19861912727356</v>
      </c>
      <c r="D61">
        <v>304</v>
      </c>
      <c r="E61">
        <v>253</v>
      </c>
      <c r="F61">
        <v>8</v>
      </c>
      <c r="G61">
        <v>7</v>
      </c>
      <c r="H61">
        <v>0.6470588235294118</v>
      </c>
      <c r="I61">
        <v>1</v>
      </c>
      <c r="J61">
        <v>1.8235294117647061</v>
      </c>
      <c r="K61">
        <v>1.8235294117647061</v>
      </c>
      <c r="L61">
        <v>4.8571428571428568</v>
      </c>
      <c r="M61">
        <v>6</v>
      </c>
      <c r="N61">
        <v>1</v>
      </c>
      <c r="O61">
        <v>3</v>
      </c>
      <c r="P61">
        <v>62</v>
      </c>
      <c r="Q61">
        <v>34</v>
      </c>
      <c r="R61">
        <v>7</v>
      </c>
      <c r="S61">
        <v>8</v>
      </c>
      <c r="T61">
        <v>210</v>
      </c>
      <c r="U61">
        <v>38</v>
      </c>
      <c r="V61">
        <v>22</v>
      </c>
      <c r="W61">
        <v>62</v>
      </c>
    </row>
    <row r="62" spans="1:23" x14ac:dyDescent="0.2">
      <c r="A62" t="s">
        <v>220</v>
      </c>
      <c r="B62" t="s">
        <v>157</v>
      </c>
      <c r="C62">
        <v>53.628237724304199</v>
      </c>
      <c r="D62">
        <v>2161</v>
      </c>
      <c r="E62">
        <v>5674</v>
      </c>
      <c r="F62">
        <v>10</v>
      </c>
      <c r="G62">
        <v>9</v>
      </c>
      <c r="H62">
        <v>0.67924528301886788</v>
      </c>
      <c r="I62">
        <v>1</v>
      </c>
      <c r="J62">
        <v>1.4905660377358489</v>
      </c>
      <c r="K62">
        <v>1.4905660377358489</v>
      </c>
      <c r="L62">
        <v>5.8888888888888893</v>
      </c>
      <c r="M62">
        <v>8</v>
      </c>
      <c r="N62">
        <v>1</v>
      </c>
      <c r="O62">
        <v>2</v>
      </c>
      <c r="P62">
        <v>79</v>
      </c>
      <c r="Q62">
        <v>53</v>
      </c>
      <c r="R62">
        <v>9</v>
      </c>
      <c r="S62">
        <v>10</v>
      </c>
      <c r="T62">
        <v>451</v>
      </c>
      <c r="U62">
        <v>74</v>
      </c>
      <c r="V62">
        <v>36</v>
      </c>
      <c r="W62">
        <v>79</v>
      </c>
    </row>
    <row r="63" spans="1:23" x14ac:dyDescent="0.2">
      <c r="A63" t="s">
        <v>221</v>
      </c>
      <c r="B63" t="s">
        <v>157</v>
      </c>
      <c r="C63">
        <v>5.8959591388702393</v>
      </c>
      <c r="D63">
        <v>234</v>
      </c>
      <c r="E63">
        <v>138</v>
      </c>
      <c r="F63">
        <v>7</v>
      </c>
      <c r="G63">
        <v>6</v>
      </c>
      <c r="H63">
        <v>5527.6219512195121</v>
      </c>
      <c r="I63">
        <v>1</v>
      </c>
      <c r="J63">
        <v>1.4512195121951219</v>
      </c>
      <c r="K63">
        <v>1.4512195121951219</v>
      </c>
      <c r="L63">
        <v>13.66666666666667</v>
      </c>
      <c r="M63">
        <v>57031</v>
      </c>
      <c r="N63">
        <v>1</v>
      </c>
      <c r="O63">
        <v>2</v>
      </c>
      <c r="P63">
        <v>119</v>
      </c>
      <c r="Q63">
        <v>82</v>
      </c>
      <c r="R63">
        <v>6</v>
      </c>
      <c r="S63">
        <v>7</v>
      </c>
      <c r="T63">
        <v>455</v>
      </c>
      <c r="U63">
        <v>30</v>
      </c>
      <c r="V63">
        <v>453265</v>
      </c>
      <c r="W63">
        <v>119</v>
      </c>
    </row>
    <row r="64" spans="1:23" x14ac:dyDescent="0.2">
      <c r="A64" t="s">
        <v>222</v>
      </c>
      <c r="B64" t="s">
        <v>157</v>
      </c>
      <c r="C64">
        <v>22.470183610916141</v>
      </c>
      <c r="D64">
        <v>266</v>
      </c>
      <c r="E64">
        <v>373</v>
      </c>
      <c r="F64">
        <v>8</v>
      </c>
      <c r="G64">
        <v>7</v>
      </c>
      <c r="H64">
        <v>1.5106382978723401</v>
      </c>
      <c r="I64">
        <v>1.130434782608696</v>
      </c>
      <c r="J64">
        <v>1.6595744680851059</v>
      </c>
      <c r="K64">
        <v>1.468085106382979</v>
      </c>
      <c r="L64">
        <v>6.7142857142857144</v>
      </c>
      <c r="M64">
        <v>2</v>
      </c>
      <c r="N64">
        <v>2</v>
      </c>
      <c r="O64">
        <v>2</v>
      </c>
      <c r="P64">
        <v>69</v>
      </c>
      <c r="Q64">
        <v>47</v>
      </c>
      <c r="R64">
        <v>7</v>
      </c>
      <c r="S64">
        <v>15</v>
      </c>
      <c r="T64">
        <v>627</v>
      </c>
      <c r="U64">
        <v>92</v>
      </c>
      <c r="V64">
        <v>71</v>
      </c>
      <c r="W64">
        <v>78</v>
      </c>
    </row>
    <row r="65" spans="1:23" x14ac:dyDescent="0.2">
      <c r="A65" t="s">
        <v>223</v>
      </c>
      <c r="B65" t="s">
        <v>157</v>
      </c>
      <c r="C65">
        <v>9.8345444202423096</v>
      </c>
      <c r="D65">
        <v>281</v>
      </c>
      <c r="E65">
        <v>411</v>
      </c>
      <c r="F65">
        <v>9</v>
      </c>
      <c r="G65">
        <v>8</v>
      </c>
      <c r="H65">
        <v>51.509803921568633</v>
      </c>
      <c r="I65">
        <v>1.053763440860215</v>
      </c>
      <c r="J65">
        <v>1.92156862745098</v>
      </c>
      <c r="K65">
        <v>1.8235294117647061</v>
      </c>
      <c r="L65">
        <v>6.375</v>
      </c>
      <c r="M65">
        <v>284</v>
      </c>
      <c r="N65">
        <v>2</v>
      </c>
      <c r="O65">
        <v>3</v>
      </c>
      <c r="P65">
        <v>93</v>
      </c>
      <c r="Q65">
        <v>51</v>
      </c>
      <c r="R65">
        <v>8</v>
      </c>
      <c r="S65">
        <v>10</v>
      </c>
      <c r="T65">
        <v>412</v>
      </c>
      <c r="U65">
        <v>62</v>
      </c>
      <c r="V65">
        <v>2627</v>
      </c>
      <c r="W65">
        <v>98</v>
      </c>
    </row>
    <row r="66" spans="1:23" x14ac:dyDescent="0.2">
      <c r="A66" t="s">
        <v>224</v>
      </c>
      <c r="B66" t="s">
        <v>157</v>
      </c>
      <c r="C66">
        <v>9.9338839054107684</v>
      </c>
      <c r="D66">
        <v>8741</v>
      </c>
      <c r="E66">
        <v>13663</v>
      </c>
      <c r="F66">
        <v>17</v>
      </c>
      <c r="G66">
        <v>16</v>
      </c>
      <c r="H66">
        <v>0</v>
      </c>
      <c r="I66">
        <v>1.0327868852459019</v>
      </c>
      <c r="J66">
        <v>1.96875</v>
      </c>
      <c r="K66">
        <v>1.90625</v>
      </c>
      <c r="L66">
        <v>4</v>
      </c>
      <c r="M66">
        <v>0</v>
      </c>
      <c r="N66">
        <v>2</v>
      </c>
      <c r="O66">
        <v>2</v>
      </c>
      <c r="P66">
        <v>122</v>
      </c>
      <c r="Q66">
        <v>64</v>
      </c>
      <c r="R66">
        <v>16</v>
      </c>
      <c r="S66">
        <v>21</v>
      </c>
      <c r="T66">
        <v>1218</v>
      </c>
      <c r="U66">
        <v>304</v>
      </c>
      <c r="V66">
        <v>0</v>
      </c>
      <c r="W66">
        <v>126</v>
      </c>
    </row>
    <row r="67" spans="1:23" x14ac:dyDescent="0.2">
      <c r="A67" t="s">
        <v>225</v>
      </c>
      <c r="B67" t="s">
        <v>157</v>
      </c>
      <c r="C67">
        <v>25.020772457122799</v>
      </c>
      <c r="D67">
        <v>266</v>
      </c>
      <c r="E67">
        <v>367</v>
      </c>
      <c r="F67">
        <v>8</v>
      </c>
      <c r="G67">
        <v>7</v>
      </c>
      <c r="H67">
        <v>1.468085106382979</v>
      </c>
      <c r="I67">
        <v>1.132352941176471</v>
      </c>
      <c r="J67">
        <v>1.638297872340426</v>
      </c>
      <c r="K67">
        <v>1.446808510638298</v>
      </c>
      <c r="L67">
        <v>6.7142857142857144</v>
      </c>
      <c r="M67">
        <v>2</v>
      </c>
      <c r="N67">
        <v>2</v>
      </c>
      <c r="O67">
        <v>2</v>
      </c>
      <c r="P67">
        <v>68</v>
      </c>
      <c r="Q67">
        <v>47</v>
      </c>
      <c r="R67">
        <v>7</v>
      </c>
      <c r="S67">
        <v>15</v>
      </c>
      <c r="T67">
        <v>628</v>
      </c>
      <c r="U67">
        <v>92</v>
      </c>
      <c r="V67">
        <v>69</v>
      </c>
      <c r="W67">
        <v>77</v>
      </c>
    </row>
    <row r="68" spans="1:23" x14ac:dyDescent="0.2">
      <c r="A68" t="s">
        <v>226</v>
      </c>
      <c r="B68" t="s">
        <v>158</v>
      </c>
      <c r="C68" t="s">
        <v>159</v>
      </c>
      <c r="D68" t="s">
        <v>159</v>
      </c>
      <c r="E68" t="s">
        <v>159</v>
      </c>
      <c r="F68" t="s">
        <v>159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</row>
    <row r="69" spans="1:23" x14ac:dyDescent="0.2">
      <c r="A69" t="s">
        <v>227</v>
      </c>
      <c r="B69" t="s">
        <v>158</v>
      </c>
      <c r="C69" t="s">
        <v>159</v>
      </c>
      <c r="D69" t="s">
        <v>159</v>
      </c>
      <c r="E69" t="s">
        <v>159</v>
      </c>
      <c r="F69" t="s">
        <v>159</v>
      </c>
      <c r="G69" t="s">
        <v>159</v>
      </c>
      <c r="H69" t="s">
        <v>159</v>
      </c>
      <c r="I69" t="s">
        <v>159</v>
      </c>
      <c r="J69" t="s">
        <v>159</v>
      </c>
      <c r="K69" t="s">
        <v>159</v>
      </c>
      <c r="L69" t="s">
        <v>159</v>
      </c>
      <c r="M69" t="s">
        <v>159</v>
      </c>
      <c r="N69" t="s">
        <v>159</v>
      </c>
      <c r="O69" t="s">
        <v>159</v>
      </c>
      <c r="P69" t="s">
        <v>159</v>
      </c>
      <c r="Q69" t="s">
        <v>159</v>
      </c>
      <c r="R69" t="s">
        <v>159</v>
      </c>
      <c r="S69" t="s">
        <v>159</v>
      </c>
      <c r="T69" t="s">
        <v>159</v>
      </c>
      <c r="U69" t="s">
        <v>159</v>
      </c>
      <c r="V69" t="s">
        <v>159</v>
      </c>
      <c r="W69" t="s">
        <v>159</v>
      </c>
    </row>
    <row r="70" spans="1:23" x14ac:dyDescent="0.2">
      <c r="A70" t="s">
        <v>228</v>
      </c>
      <c r="B70" t="s">
        <v>157</v>
      </c>
      <c r="C70">
        <v>1617.0861761569979</v>
      </c>
      <c r="D70">
        <v>1550</v>
      </c>
      <c r="E70">
        <v>2518</v>
      </c>
      <c r="F70">
        <v>10</v>
      </c>
      <c r="G70">
        <v>9</v>
      </c>
      <c r="H70">
        <v>0.69811320754716977</v>
      </c>
      <c r="I70">
        <v>1</v>
      </c>
      <c r="J70">
        <v>1.8867924528301889</v>
      </c>
      <c r="K70">
        <v>1.8867924528301889</v>
      </c>
      <c r="L70">
        <v>5.8888888888888893</v>
      </c>
      <c r="M70">
        <v>8</v>
      </c>
      <c r="N70">
        <v>1</v>
      </c>
      <c r="O70">
        <v>3</v>
      </c>
      <c r="P70">
        <v>100</v>
      </c>
      <c r="Q70">
        <v>53</v>
      </c>
      <c r="R70">
        <v>9</v>
      </c>
      <c r="S70">
        <v>10</v>
      </c>
      <c r="T70">
        <v>430</v>
      </c>
      <c r="U70">
        <v>66</v>
      </c>
      <c r="V70">
        <v>37</v>
      </c>
      <c r="W70">
        <v>100</v>
      </c>
    </row>
    <row r="71" spans="1:23" x14ac:dyDescent="0.2">
      <c r="A71" t="s">
        <v>229</v>
      </c>
      <c r="B71" t="s">
        <v>158</v>
      </c>
      <c r="C71" t="s">
        <v>159</v>
      </c>
      <c r="D71" t="s">
        <v>159</v>
      </c>
      <c r="E71" t="s">
        <v>159</v>
      </c>
      <c r="F71" t="s">
        <v>159</v>
      </c>
      <c r="G71" t="s">
        <v>159</v>
      </c>
      <c r="H71" t="s">
        <v>159</v>
      </c>
      <c r="I71" t="s">
        <v>159</v>
      </c>
      <c r="J71" t="s">
        <v>159</v>
      </c>
      <c r="K71" t="s">
        <v>159</v>
      </c>
      <c r="L71" t="s">
        <v>159</v>
      </c>
      <c r="M71" t="s">
        <v>159</v>
      </c>
      <c r="N71" t="s">
        <v>159</v>
      </c>
      <c r="O71" t="s">
        <v>159</v>
      </c>
      <c r="P71" t="s">
        <v>159</v>
      </c>
      <c r="Q71" t="s">
        <v>159</v>
      </c>
      <c r="R71" t="s">
        <v>159</v>
      </c>
      <c r="S71" t="s">
        <v>159</v>
      </c>
      <c r="T71" t="s">
        <v>159</v>
      </c>
      <c r="U71" t="s">
        <v>159</v>
      </c>
      <c r="V71" t="s">
        <v>159</v>
      </c>
      <c r="W71" t="s">
        <v>159</v>
      </c>
    </row>
    <row r="72" spans="1:23" x14ac:dyDescent="0.2">
      <c r="A72" t="s">
        <v>230</v>
      </c>
      <c r="B72" t="s">
        <v>157</v>
      </c>
      <c r="C72">
        <v>6914.5488810539246</v>
      </c>
      <c r="D72">
        <v>6362</v>
      </c>
      <c r="E72">
        <v>17609</v>
      </c>
      <c r="F72">
        <v>13</v>
      </c>
      <c r="G72">
        <v>12</v>
      </c>
      <c r="H72">
        <v>5549.304347826087</v>
      </c>
      <c r="I72">
        <v>1.112676056338028</v>
      </c>
      <c r="J72">
        <v>1.7173913043478259</v>
      </c>
      <c r="K72">
        <v>1.543478260869565</v>
      </c>
      <c r="L72">
        <v>3.833333333333333</v>
      </c>
      <c r="M72">
        <v>39701</v>
      </c>
      <c r="N72">
        <v>2</v>
      </c>
      <c r="O72">
        <v>5</v>
      </c>
      <c r="P72">
        <v>71</v>
      </c>
      <c r="Q72">
        <v>46</v>
      </c>
      <c r="R72">
        <v>12</v>
      </c>
      <c r="S72">
        <v>25</v>
      </c>
      <c r="T72">
        <v>1071</v>
      </c>
      <c r="U72">
        <v>272</v>
      </c>
      <c r="V72">
        <v>255268</v>
      </c>
      <c r="W72">
        <v>79</v>
      </c>
    </row>
    <row r="73" spans="1:23" x14ac:dyDescent="0.2">
      <c r="A73" t="s">
        <v>231</v>
      </c>
      <c r="B73" t="s">
        <v>157</v>
      </c>
      <c r="C73">
        <v>63.766918420791633</v>
      </c>
      <c r="D73">
        <v>725</v>
      </c>
      <c r="E73">
        <v>1626</v>
      </c>
      <c r="F73">
        <v>9</v>
      </c>
      <c r="G73">
        <v>8</v>
      </c>
      <c r="H73">
        <v>11.65</v>
      </c>
      <c r="I73">
        <v>1.6125</v>
      </c>
      <c r="J73">
        <v>2.15</v>
      </c>
      <c r="K73">
        <v>1.333333333333333</v>
      </c>
      <c r="L73">
        <v>7.5</v>
      </c>
      <c r="M73">
        <v>332</v>
      </c>
      <c r="N73">
        <v>4</v>
      </c>
      <c r="O73">
        <v>3</v>
      </c>
      <c r="P73">
        <v>80</v>
      </c>
      <c r="Q73">
        <v>60</v>
      </c>
      <c r="R73">
        <v>8</v>
      </c>
      <c r="S73">
        <v>14</v>
      </c>
      <c r="T73">
        <v>711</v>
      </c>
      <c r="U73">
        <v>87</v>
      </c>
      <c r="V73">
        <v>699</v>
      </c>
      <c r="W73">
        <v>129</v>
      </c>
    </row>
    <row r="74" spans="1:23" x14ac:dyDescent="0.2">
      <c r="A74" t="s">
        <v>232</v>
      </c>
      <c r="B74" t="s">
        <v>157</v>
      </c>
      <c r="C74">
        <v>210.9564037322998</v>
      </c>
      <c r="D74">
        <v>362</v>
      </c>
      <c r="E74">
        <v>2714</v>
      </c>
      <c r="F74">
        <v>6</v>
      </c>
      <c r="G74">
        <v>5</v>
      </c>
      <c r="H74">
        <v>2.034782608695652</v>
      </c>
      <c r="I74">
        <v>1.6647398843930641</v>
      </c>
      <c r="J74">
        <v>2.5043478260869572</v>
      </c>
      <c r="K74">
        <v>1.5043478260869561</v>
      </c>
      <c r="L74">
        <v>23</v>
      </c>
      <c r="M74">
        <v>6</v>
      </c>
      <c r="N74">
        <v>3</v>
      </c>
      <c r="O74">
        <v>2</v>
      </c>
      <c r="P74">
        <v>173</v>
      </c>
      <c r="Q74">
        <v>115</v>
      </c>
      <c r="R74">
        <v>5</v>
      </c>
      <c r="S74">
        <v>16</v>
      </c>
      <c r="T74">
        <v>1552</v>
      </c>
      <c r="U74">
        <v>65</v>
      </c>
      <c r="V74">
        <v>234</v>
      </c>
      <c r="W74">
        <v>288</v>
      </c>
    </row>
    <row r="75" spans="1:23" x14ac:dyDescent="0.2">
      <c r="A75" t="s">
        <v>233</v>
      </c>
      <c r="B75" t="s">
        <v>157</v>
      </c>
      <c r="C75">
        <v>13.095730781555179</v>
      </c>
      <c r="D75">
        <v>461</v>
      </c>
      <c r="E75">
        <v>319</v>
      </c>
      <c r="F75">
        <v>11</v>
      </c>
      <c r="G75">
        <v>10</v>
      </c>
      <c r="H75">
        <v>67.5</v>
      </c>
      <c r="I75">
        <v>1</v>
      </c>
      <c r="J75">
        <v>1.5249999999999999</v>
      </c>
      <c r="K75">
        <v>1.5249999999999999</v>
      </c>
      <c r="L75">
        <v>4</v>
      </c>
      <c r="M75">
        <v>595</v>
      </c>
      <c r="N75">
        <v>1</v>
      </c>
      <c r="O75">
        <v>2</v>
      </c>
      <c r="P75">
        <v>61</v>
      </c>
      <c r="Q75">
        <v>40</v>
      </c>
      <c r="R75">
        <v>10</v>
      </c>
      <c r="S75">
        <v>11</v>
      </c>
      <c r="T75">
        <v>379</v>
      </c>
      <c r="U75">
        <v>92</v>
      </c>
      <c r="V75">
        <v>2700</v>
      </c>
      <c r="W75">
        <v>61</v>
      </c>
    </row>
    <row r="76" spans="1:23" x14ac:dyDescent="0.2">
      <c r="A76" t="s">
        <v>234</v>
      </c>
      <c r="B76" t="s">
        <v>157</v>
      </c>
      <c r="C76">
        <v>61.437910556793213</v>
      </c>
      <c r="D76">
        <v>2226</v>
      </c>
      <c r="E76">
        <v>5726</v>
      </c>
      <c r="F76">
        <v>10</v>
      </c>
      <c r="G76">
        <v>9</v>
      </c>
      <c r="H76">
        <v>0.67924528301886788</v>
      </c>
      <c r="I76">
        <v>1</v>
      </c>
      <c r="J76">
        <v>1.4905660377358489</v>
      </c>
      <c r="K76">
        <v>1.4905660377358489</v>
      </c>
      <c r="L76">
        <v>5.8888888888888893</v>
      </c>
      <c r="M76">
        <v>8</v>
      </c>
      <c r="N76">
        <v>1</v>
      </c>
      <c r="O76">
        <v>2</v>
      </c>
      <c r="P76">
        <v>79</v>
      </c>
      <c r="Q76">
        <v>53</v>
      </c>
      <c r="R76">
        <v>9</v>
      </c>
      <c r="S76">
        <v>10</v>
      </c>
      <c r="T76">
        <v>451</v>
      </c>
      <c r="U76">
        <v>74</v>
      </c>
      <c r="V76">
        <v>36</v>
      </c>
      <c r="W76">
        <v>79</v>
      </c>
    </row>
    <row r="77" spans="1:23" x14ac:dyDescent="0.2">
      <c r="A77" t="s">
        <v>235</v>
      </c>
      <c r="B77" t="s">
        <v>157</v>
      </c>
      <c r="C77">
        <v>16.367100715637211</v>
      </c>
      <c r="D77">
        <v>501</v>
      </c>
      <c r="E77">
        <v>369</v>
      </c>
      <c r="F77">
        <v>11</v>
      </c>
      <c r="G77">
        <v>10</v>
      </c>
      <c r="H77">
        <v>67.424999999999997</v>
      </c>
      <c r="I77">
        <v>1</v>
      </c>
      <c r="J77">
        <v>1.5249999999999999</v>
      </c>
      <c r="K77">
        <v>1.5249999999999999</v>
      </c>
      <c r="L77">
        <v>4</v>
      </c>
      <c r="M77">
        <v>595</v>
      </c>
      <c r="N77">
        <v>1</v>
      </c>
      <c r="O77">
        <v>2</v>
      </c>
      <c r="P77">
        <v>61</v>
      </c>
      <c r="Q77">
        <v>40</v>
      </c>
      <c r="R77">
        <v>10</v>
      </c>
      <c r="S77">
        <v>11</v>
      </c>
      <c r="T77">
        <v>379</v>
      </c>
      <c r="U77">
        <v>92</v>
      </c>
      <c r="V77">
        <v>2697</v>
      </c>
      <c r="W77">
        <v>61</v>
      </c>
    </row>
    <row r="78" spans="1:23" x14ac:dyDescent="0.2">
      <c r="A78" t="s">
        <v>236</v>
      </c>
      <c r="B78" t="s">
        <v>158</v>
      </c>
      <c r="C78" t="s">
        <v>159</v>
      </c>
      <c r="D78" t="s">
        <v>159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  <c r="K78" t="s">
        <v>159</v>
      </c>
      <c r="L78" t="s">
        <v>159</v>
      </c>
      <c r="M78" t="s">
        <v>159</v>
      </c>
      <c r="N78" t="s">
        <v>159</v>
      </c>
      <c r="O78" t="s">
        <v>159</v>
      </c>
      <c r="P78" t="s">
        <v>159</v>
      </c>
      <c r="Q78" t="s">
        <v>159</v>
      </c>
      <c r="R78" t="s">
        <v>159</v>
      </c>
      <c r="S78" t="s">
        <v>159</v>
      </c>
      <c r="T78" t="s">
        <v>159</v>
      </c>
      <c r="U78" t="s">
        <v>159</v>
      </c>
      <c r="V78" t="s">
        <v>159</v>
      </c>
      <c r="W78" t="s">
        <v>159</v>
      </c>
    </row>
    <row r="79" spans="1:23" x14ac:dyDescent="0.2">
      <c r="A79" t="s">
        <v>237</v>
      </c>
      <c r="B79" t="s">
        <v>157</v>
      </c>
      <c r="C79">
        <v>3.417641162872314</v>
      </c>
      <c r="D79">
        <v>197</v>
      </c>
      <c r="E79">
        <v>224</v>
      </c>
      <c r="F79">
        <v>8</v>
      </c>
      <c r="G79">
        <v>7</v>
      </c>
      <c r="H79">
        <v>0.6470588235294118</v>
      </c>
      <c r="I79">
        <v>1</v>
      </c>
      <c r="J79">
        <v>1.6764705882352939</v>
      </c>
      <c r="K79">
        <v>1.6764705882352939</v>
      </c>
      <c r="L79">
        <v>4.8571428571428568</v>
      </c>
      <c r="M79">
        <v>6</v>
      </c>
      <c r="N79">
        <v>1</v>
      </c>
      <c r="O79">
        <v>3</v>
      </c>
      <c r="P79">
        <v>57</v>
      </c>
      <c r="Q79">
        <v>34</v>
      </c>
      <c r="R79">
        <v>7</v>
      </c>
      <c r="S79">
        <v>8</v>
      </c>
      <c r="T79">
        <v>215</v>
      </c>
      <c r="U79">
        <v>38</v>
      </c>
      <c r="V79">
        <v>22</v>
      </c>
      <c r="W79">
        <v>57</v>
      </c>
    </row>
    <row r="80" spans="1:23" x14ac:dyDescent="0.2">
      <c r="A80" t="s">
        <v>238</v>
      </c>
      <c r="B80" t="s">
        <v>157</v>
      </c>
      <c r="C80">
        <v>286.22006034851069</v>
      </c>
      <c r="D80">
        <v>1163</v>
      </c>
      <c r="E80">
        <v>1670</v>
      </c>
      <c r="F80">
        <v>11</v>
      </c>
      <c r="G80">
        <v>10</v>
      </c>
      <c r="H80">
        <v>66.625</v>
      </c>
      <c r="I80">
        <v>1</v>
      </c>
      <c r="J80">
        <v>1.5249999999999999</v>
      </c>
      <c r="K80">
        <v>1.5249999999999999</v>
      </c>
      <c r="L80">
        <v>4</v>
      </c>
      <c r="M80">
        <v>595</v>
      </c>
      <c r="N80">
        <v>1</v>
      </c>
      <c r="O80">
        <v>2</v>
      </c>
      <c r="P80">
        <v>61</v>
      </c>
      <c r="Q80">
        <v>40</v>
      </c>
      <c r="R80">
        <v>10</v>
      </c>
      <c r="S80">
        <v>11</v>
      </c>
      <c r="T80">
        <v>379</v>
      </c>
      <c r="U80">
        <v>92</v>
      </c>
      <c r="V80">
        <v>2665</v>
      </c>
      <c r="W80">
        <v>61</v>
      </c>
    </row>
    <row r="81" spans="1:23" x14ac:dyDescent="0.2">
      <c r="A81" t="s">
        <v>239</v>
      </c>
      <c r="B81" t="s">
        <v>157</v>
      </c>
      <c r="C81">
        <v>3934.020003080368</v>
      </c>
      <c r="D81">
        <v>2737</v>
      </c>
      <c r="E81">
        <v>13896</v>
      </c>
      <c r="F81">
        <v>9</v>
      </c>
      <c r="G81">
        <v>8</v>
      </c>
      <c r="H81">
        <v>11.85</v>
      </c>
      <c r="I81">
        <v>1.6049382716049381</v>
      </c>
      <c r="J81">
        <v>2.166666666666667</v>
      </c>
      <c r="K81">
        <v>1.35</v>
      </c>
      <c r="L81">
        <v>7.5</v>
      </c>
      <c r="M81">
        <v>332</v>
      </c>
      <c r="N81">
        <v>4</v>
      </c>
      <c r="O81">
        <v>3</v>
      </c>
      <c r="P81">
        <v>81</v>
      </c>
      <c r="Q81">
        <v>60</v>
      </c>
      <c r="R81">
        <v>8</v>
      </c>
      <c r="S81">
        <v>15</v>
      </c>
      <c r="T81">
        <v>770</v>
      </c>
      <c r="U81">
        <v>95</v>
      </c>
      <c r="V81">
        <v>711</v>
      </c>
      <c r="W81">
        <v>130</v>
      </c>
    </row>
    <row r="82" spans="1:23" x14ac:dyDescent="0.2">
      <c r="A82" t="s">
        <v>240</v>
      </c>
      <c r="B82" t="s">
        <v>813</v>
      </c>
      <c r="C82" t="s">
        <v>159</v>
      </c>
      <c r="D82" t="s">
        <v>159</v>
      </c>
      <c r="E82" t="s">
        <v>159</v>
      </c>
      <c r="F82" t="s">
        <v>159</v>
      </c>
      <c r="G82" t="s">
        <v>159</v>
      </c>
      <c r="H82" t="s">
        <v>159</v>
      </c>
      <c r="I82" t="s">
        <v>159</v>
      </c>
      <c r="J82" t="s">
        <v>159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  <c r="V82" t="s">
        <v>159</v>
      </c>
      <c r="W82" t="s">
        <v>159</v>
      </c>
    </row>
    <row r="83" spans="1:23" x14ac:dyDescent="0.2">
      <c r="A83" t="s">
        <v>241</v>
      </c>
      <c r="B83" t="s">
        <v>158</v>
      </c>
      <c r="C83" t="s">
        <v>159</v>
      </c>
      <c r="D83" t="s">
        <v>159</v>
      </c>
      <c r="E83" t="s">
        <v>159</v>
      </c>
      <c r="F83" t="s">
        <v>159</v>
      </c>
      <c r="G83" t="s">
        <v>159</v>
      </c>
      <c r="H83" t="s">
        <v>159</v>
      </c>
      <c r="I83" t="s">
        <v>159</v>
      </c>
      <c r="J83" t="s">
        <v>159</v>
      </c>
      <c r="K83" t="s">
        <v>159</v>
      </c>
      <c r="L83" t="s">
        <v>159</v>
      </c>
      <c r="M83" t="s">
        <v>159</v>
      </c>
      <c r="N83" t="s">
        <v>159</v>
      </c>
      <c r="O83" t="s">
        <v>159</v>
      </c>
      <c r="P83" t="s">
        <v>159</v>
      </c>
      <c r="Q83" t="s">
        <v>159</v>
      </c>
      <c r="R83" t="s">
        <v>159</v>
      </c>
      <c r="S83" t="s">
        <v>159</v>
      </c>
      <c r="T83" t="s">
        <v>159</v>
      </c>
      <c r="U83" t="s">
        <v>159</v>
      </c>
      <c r="V83" t="s">
        <v>159</v>
      </c>
      <c r="W83" t="s">
        <v>159</v>
      </c>
    </row>
    <row r="84" spans="1:23" x14ac:dyDescent="0.2">
      <c r="A84" t="s">
        <v>242</v>
      </c>
      <c r="B84" t="s">
        <v>157</v>
      </c>
      <c r="C84">
        <v>135.30594658851621</v>
      </c>
      <c r="D84">
        <v>630</v>
      </c>
      <c r="E84">
        <v>17040</v>
      </c>
      <c r="F84">
        <v>7</v>
      </c>
      <c r="G84">
        <v>6</v>
      </c>
      <c r="H84">
        <v>7.1428571428571425E-2</v>
      </c>
      <c r="I84">
        <v>1.1818181818181821</v>
      </c>
      <c r="J84">
        <v>2.3214285714285721</v>
      </c>
      <c r="K84">
        <v>1.964285714285714</v>
      </c>
      <c r="L84">
        <v>4.666666666666667</v>
      </c>
      <c r="M84">
        <v>1</v>
      </c>
      <c r="N84">
        <v>5</v>
      </c>
      <c r="O84">
        <v>4</v>
      </c>
      <c r="P84">
        <v>55</v>
      </c>
      <c r="Q84">
        <v>28</v>
      </c>
      <c r="R84">
        <v>6</v>
      </c>
      <c r="S84">
        <v>11</v>
      </c>
      <c r="T84">
        <v>243</v>
      </c>
      <c r="U84">
        <v>47</v>
      </c>
      <c r="V84">
        <v>2</v>
      </c>
      <c r="W84">
        <v>65</v>
      </c>
    </row>
    <row r="85" spans="1:23" x14ac:dyDescent="0.2">
      <c r="A85" t="s">
        <v>243</v>
      </c>
      <c r="B85" t="s">
        <v>157</v>
      </c>
      <c r="C85">
        <v>7.1731057167053223</v>
      </c>
      <c r="D85">
        <v>9238</v>
      </c>
      <c r="E85">
        <v>15021</v>
      </c>
      <c r="F85">
        <v>17</v>
      </c>
      <c r="G85">
        <v>16</v>
      </c>
      <c r="H85">
        <v>0</v>
      </c>
      <c r="I85">
        <v>1.032520325203252</v>
      </c>
      <c r="J85">
        <v>1.984375</v>
      </c>
      <c r="K85">
        <v>1.921875</v>
      </c>
      <c r="L85">
        <v>4</v>
      </c>
      <c r="M85">
        <v>0</v>
      </c>
      <c r="N85">
        <v>2</v>
      </c>
      <c r="O85">
        <v>2</v>
      </c>
      <c r="P85">
        <v>123</v>
      </c>
      <c r="Q85">
        <v>64</v>
      </c>
      <c r="R85">
        <v>16</v>
      </c>
      <c r="S85">
        <v>21</v>
      </c>
      <c r="T85">
        <v>1217</v>
      </c>
      <c r="U85">
        <v>304</v>
      </c>
      <c r="V85">
        <v>0</v>
      </c>
      <c r="W85">
        <v>127</v>
      </c>
    </row>
    <row r="86" spans="1:23" x14ac:dyDescent="0.2">
      <c r="A86" t="s">
        <v>244</v>
      </c>
      <c r="B86" t="s">
        <v>157</v>
      </c>
      <c r="C86">
        <v>986.39993190765381</v>
      </c>
      <c r="D86">
        <v>725</v>
      </c>
      <c r="E86">
        <v>6718</v>
      </c>
      <c r="F86">
        <v>7</v>
      </c>
      <c r="G86">
        <v>6</v>
      </c>
      <c r="H86">
        <v>6.25E-2</v>
      </c>
      <c r="I86">
        <v>0.9864864864864864</v>
      </c>
      <c r="J86">
        <v>2.28125</v>
      </c>
      <c r="K86">
        <v>2.3125</v>
      </c>
      <c r="L86">
        <v>5.333333333333333</v>
      </c>
      <c r="M86">
        <v>1</v>
      </c>
      <c r="N86">
        <v>1</v>
      </c>
      <c r="O86">
        <v>5</v>
      </c>
      <c r="P86">
        <v>74</v>
      </c>
      <c r="Q86">
        <v>32</v>
      </c>
      <c r="R86">
        <v>6</v>
      </c>
      <c r="S86">
        <v>6</v>
      </c>
      <c r="T86">
        <v>119</v>
      </c>
      <c r="U86">
        <v>18</v>
      </c>
      <c r="V86">
        <v>2</v>
      </c>
      <c r="W86">
        <v>73</v>
      </c>
    </row>
    <row r="87" spans="1:23" x14ac:dyDescent="0.2">
      <c r="A87" t="s">
        <v>245</v>
      </c>
      <c r="B87" t="s">
        <v>157</v>
      </c>
      <c r="C87">
        <v>191.51166868209839</v>
      </c>
      <c r="D87">
        <v>714</v>
      </c>
      <c r="E87">
        <v>1290</v>
      </c>
      <c r="F87">
        <v>9</v>
      </c>
      <c r="G87">
        <v>8</v>
      </c>
      <c r="H87">
        <v>1.5166666666666671</v>
      </c>
      <c r="I87">
        <v>1.122222222222222</v>
      </c>
      <c r="J87">
        <v>1.6833333333333329</v>
      </c>
      <c r="K87">
        <v>1.5</v>
      </c>
      <c r="L87">
        <v>7.5</v>
      </c>
      <c r="M87">
        <v>2</v>
      </c>
      <c r="N87">
        <v>2</v>
      </c>
      <c r="O87">
        <v>2</v>
      </c>
      <c r="P87">
        <v>90</v>
      </c>
      <c r="Q87">
        <v>60</v>
      </c>
      <c r="R87">
        <v>8</v>
      </c>
      <c r="S87">
        <v>17</v>
      </c>
      <c r="T87">
        <v>919</v>
      </c>
      <c r="U87">
        <v>121</v>
      </c>
      <c r="V87">
        <v>91</v>
      </c>
      <c r="W87">
        <v>101</v>
      </c>
    </row>
    <row r="88" spans="1:23" x14ac:dyDescent="0.2">
      <c r="A88" t="s">
        <v>246</v>
      </c>
      <c r="B88" t="s">
        <v>157</v>
      </c>
      <c r="C88">
        <v>26.874382019042969</v>
      </c>
      <c r="D88">
        <v>266</v>
      </c>
      <c r="E88">
        <v>366</v>
      </c>
      <c r="F88">
        <v>8</v>
      </c>
      <c r="G88">
        <v>7</v>
      </c>
      <c r="H88">
        <v>1.468085106382979</v>
      </c>
      <c r="I88">
        <v>1.132352941176471</v>
      </c>
      <c r="J88">
        <v>1.638297872340426</v>
      </c>
      <c r="K88">
        <v>1.446808510638298</v>
      </c>
      <c r="L88">
        <v>6.7142857142857144</v>
      </c>
      <c r="M88">
        <v>2</v>
      </c>
      <c r="N88">
        <v>2</v>
      </c>
      <c r="O88">
        <v>2</v>
      </c>
      <c r="P88">
        <v>68</v>
      </c>
      <c r="Q88">
        <v>47</v>
      </c>
      <c r="R88">
        <v>7</v>
      </c>
      <c r="S88">
        <v>15</v>
      </c>
      <c r="T88">
        <v>628</v>
      </c>
      <c r="U88">
        <v>92</v>
      </c>
      <c r="V88">
        <v>69</v>
      </c>
      <c r="W88">
        <v>77</v>
      </c>
    </row>
    <row r="89" spans="1:23" x14ac:dyDescent="0.2">
      <c r="A89" t="s">
        <v>247</v>
      </c>
      <c r="B89" t="s">
        <v>157</v>
      </c>
      <c r="C89">
        <v>3399.0168294906621</v>
      </c>
      <c r="D89">
        <v>3172</v>
      </c>
      <c r="E89">
        <v>6492</v>
      </c>
      <c r="F89">
        <v>10</v>
      </c>
      <c r="G89">
        <v>9</v>
      </c>
      <c r="H89">
        <v>55861738986339.883</v>
      </c>
      <c r="I89">
        <v>1.019047619047619</v>
      </c>
      <c r="J89">
        <v>2.0776699029126209</v>
      </c>
      <c r="K89">
        <v>2.0388349514563111</v>
      </c>
      <c r="L89">
        <v>11.444444444444439</v>
      </c>
      <c r="M89">
        <v>1212982689600000</v>
      </c>
      <c r="N89">
        <v>2</v>
      </c>
      <c r="O89">
        <v>4</v>
      </c>
      <c r="P89">
        <v>210</v>
      </c>
      <c r="Q89">
        <v>103</v>
      </c>
      <c r="R89">
        <v>9</v>
      </c>
      <c r="S89">
        <v>19</v>
      </c>
      <c r="T89">
        <v>1743</v>
      </c>
      <c r="U89">
        <v>144</v>
      </c>
      <c r="V89">
        <v>5753759115593007</v>
      </c>
      <c r="W89">
        <v>214</v>
      </c>
    </row>
    <row r="90" spans="1:23" x14ac:dyDescent="0.2">
      <c r="A90" t="s">
        <v>248</v>
      </c>
      <c r="B90" t="s">
        <v>157</v>
      </c>
      <c r="C90">
        <v>26.600967407226559</v>
      </c>
      <c r="D90">
        <v>558</v>
      </c>
      <c r="E90">
        <v>337</v>
      </c>
      <c r="F90">
        <v>11</v>
      </c>
      <c r="G90">
        <v>10</v>
      </c>
      <c r="H90">
        <v>151.375</v>
      </c>
      <c r="I90">
        <v>1</v>
      </c>
      <c r="J90">
        <v>1.5249999999999999</v>
      </c>
      <c r="K90">
        <v>1.5249999999999999</v>
      </c>
      <c r="L90">
        <v>4</v>
      </c>
      <c r="M90">
        <v>855</v>
      </c>
      <c r="N90">
        <v>1</v>
      </c>
      <c r="O90">
        <v>2</v>
      </c>
      <c r="P90">
        <v>61</v>
      </c>
      <c r="Q90">
        <v>40</v>
      </c>
      <c r="R90">
        <v>10</v>
      </c>
      <c r="S90">
        <v>11</v>
      </c>
      <c r="T90">
        <v>379</v>
      </c>
      <c r="U90">
        <v>92</v>
      </c>
      <c r="V90">
        <v>6055</v>
      </c>
      <c r="W90">
        <v>61</v>
      </c>
    </row>
    <row r="91" spans="1:23" x14ac:dyDescent="0.2">
      <c r="A91" t="s">
        <v>249</v>
      </c>
      <c r="B91" t="s">
        <v>157</v>
      </c>
      <c r="C91">
        <v>4.1890814304351807</v>
      </c>
      <c r="D91">
        <v>215</v>
      </c>
      <c r="E91">
        <v>131</v>
      </c>
      <c r="F91">
        <v>7</v>
      </c>
      <c r="G91">
        <v>6</v>
      </c>
      <c r="H91">
        <v>5287.0853658536589</v>
      </c>
      <c r="I91">
        <v>1</v>
      </c>
      <c r="J91">
        <v>1.4512195121951219</v>
      </c>
      <c r="K91">
        <v>1.4512195121951219</v>
      </c>
      <c r="L91">
        <v>13.66666666666667</v>
      </c>
      <c r="M91">
        <v>57031</v>
      </c>
      <c r="N91">
        <v>1</v>
      </c>
      <c r="O91">
        <v>2</v>
      </c>
      <c r="P91">
        <v>119</v>
      </c>
      <c r="Q91">
        <v>82</v>
      </c>
      <c r="R91">
        <v>6</v>
      </c>
      <c r="S91">
        <v>7</v>
      </c>
      <c r="T91">
        <v>455</v>
      </c>
      <c r="U91">
        <v>30</v>
      </c>
      <c r="V91">
        <v>433541</v>
      </c>
      <c r="W91">
        <v>119</v>
      </c>
    </row>
    <row r="92" spans="1:23" x14ac:dyDescent="0.2">
      <c r="A92" t="s">
        <v>250</v>
      </c>
      <c r="B92" t="s">
        <v>158</v>
      </c>
      <c r="C92" t="s">
        <v>159</v>
      </c>
      <c r="D92" t="s">
        <v>159</v>
      </c>
      <c r="E92" t="s">
        <v>159</v>
      </c>
      <c r="F92" t="s">
        <v>159</v>
      </c>
      <c r="G92" t="s">
        <v>159</v>
      </c>
      <c r="H92" t="s">
        <v>159</v>
      </c>
      <c r="I92" t="s">
        <v>159</v>
      </c>
      <c r="J92" t="s">
        <v>159</v>
      </c>
      <c r="K92" t="s">
        <v>159</v>
      </c>
      <c r="L92" t="s">
        <v>159</v>
      </c>
      <c r="M92" t="s">
        <v>159</v>
      </c>
      <c r="N92" t="s">
        <v>159</v>
      </c>
      <c r="O92" t="s">
        <v>159</v>
      </c>
      <c r="P92" t="s">
        <v>159</v>
      </c>
      <c r="Q92" t="s">
        <v>159</v>
      </c>
      <c r="R92" t="s">
        <v>159</v>
      </c>
      <c r="S92" t="s">
        <v>159</v>
      </c>
      <c r="T92" t="s">
        <v>159</v>
      </c>
      <c r="U92" t="s">
        <v>159</v>
      </c>
      <c r="V92" t="s">
        <v>159</v>
      </c>
      <c r="W92" t="s">
        <v>159</v>
      </c>
    </row>
    <row r="93" spans="1:23" x14ac:dyDescent="0.2">
      <c r="A93" t="s">
        <v>251</v>
      </c>
      <c r="B93" t="s">
        <v>157</v>
      </c>
      <c r="C93">
        <v>866.68660831451416</v>
      </c>
      <c r="D93">
        <v>704</v>
      </c>
      <c r="E93">
        <v>5926</v>
      </c>
      <c r="F93">
        <v>7</v>
      </c>
      <c r="G93">
        <v>6</v>
      </c>
      <c r="H93">
        <v>6.25E-2</v>
      </c>
      <c r="I93">
        <v>0.9864864864864864</v>
      </c>
      <c r="J93">
        <v>2.28125</v>
      </c>
      <c r="K93">
        <v>2.3125</v>
      </c>
      <c r="L93">
        <v>5.333333333333333</v>
      </c>
      <c r="M93">
        <v>1</v>
      </c>
      <c r="N93">
        <v>1</v>
      </c>
      <c r="O93">
        <v>5</v>
      </c>
      <c r="P93">
        <v>74</v>
      </c>
      <c r="Q93">
        <v>32</v>
      </c>
      <c r="R93">
        <v>6</v>
      </c>
      <c r="S93">
        <v>6</v>
      </c>
      <c r="T93">
        <v>119</v>
      </c>
      <c r="U93">
        <v>18</v>
      </c>
      <c r="V93">
        <v>2</v>
      </c>
      <c r="W93">
        <v>73</v>
      </c>
    </row>
    <row r="94" spans="1:23" x14ac:dyDescent="0.2">
      <c r="A94" t="s">
        <v>252</v>
      </c>
      <c r="B94" t="s">
        <v>157</v>
      </c>
      <c r="C94">
        <v>6.8971366882324219</v>
      </c>
      <c r="D94">
        <v>7688</v>
      </c>
      <c r="E94">
        <v>13218</v>
      </c>
      <c r="F94">
        <v>17</v>
      </c>
      <c r="G94">
        <v>16</v>
      </c>
      <c r="H94">
        <v>0</v>
      </c>
      <c r="I94">
        <v>1.032520325203252</v>
      </c>
      <c r="J94">
        <v>1.984375</v>
      </c>
      <c r="K94">
        <v>1.921875</v>
      </c>
      <c r="L94">
        <v>4</v>
      </c>
      <c r="M94">
        <v>0</v>
      </c>
      <c r="N94">
        <v>2</v>
      </c>
      <c r="O94">
        <v>2</v>
      </c>
      <c r="P94">
        <v>123</v>
      </c>
      <c r="Q94">
        <v>64</v>
      </c>
      <c r="R94">
        <v>16</v>
      </c>
      <c r="S94">
        <v>21</v>
      </c>
      <c r="T94">
        <v>1217</v>
      </c>
      <c r="U94">
        <v>304</v>
      </c>
      <c r="V94">
        <v>0</v>
      </c>
      <c r="W94">
        <v>127</v>
      </c>
    </row>
    <row r="95" spans="1:23" x14ac:dyDescent="0.2">
      <c r="A95" t="s">
        <v>253</v>
      </c>
      <c r="B95" t="s">
        <v>157</v>
      </c>
      <c r="C95">
        <v>75.100246906280518</v>
      </c>
      <c r="D95">
        <v>398</v>
      </c>
      <c r="E95">
        <v>755</v>
      </c>
      <c r="F95">
        <v>9</v>
      </c>
      <c r="G95">
        <v>8</v>
      </c>
      <c r="H95">
        <v>126.2745098039216</v>
      </c>
      <c r="I95">
        <v>1.056179775280899</v>
      </c>
      <c r="J95">
        <v>1.8431372549019609</v>
      </c>
      <c r="K95">
        <v>1.7450980392156861</v>
      </c>
      <c r="L95">
        <v>6.375</v>
      </c>
      <c r="M95">
        <v>1056</v>
      </c>
      <c r="N95">
        <v>2</v>
      </c>
      <c r="O95">
        <v>3</v>
      </c>
      <c r="P95">
        <v>89</v>
      </c>
      <c r="Q95">
        <v>51</v>
      </c>
      <c r="R95">
        <v>8</v>
      </c>
      <c r="S95">
        <v>10</v>
      </c>
      <c r="T95">
        <v>416</v>
      </c>
      <c r="U95">
        <v>62</v>
      </c>
      <c r="V95">
        <v>6440</v>
      </c>
      <c r="W95">
        <v>94</v>
      </c>
    </row>
    <row r="96" spans="1:23" x14ac:dyDescent="0.2">
      <c r="A96" t="s">
        <v>254</v>
      </c>
      <c r="B96" t="s">
        <v>157</v>
      </c>
      <c r="C96">
        <v>7.6199419498443604</v>
      </c>
      <c r="D96">
        <v>642</v>
      </c>
      <c r="E96">
        <v>1236</v>
      </c>
      <c r="F96">
        <v>9</v>
      </c>
      <c r="G96">
        <v>8</v>
      </c>
      <c r="H96">
        <v>0.65116279069767447</v>
      </c>
      <c r="I96">
        <v>1</v>
      </c>
      <c r="J96">
        <v>1.441860465116279</v>
      </c>
      <c r="K96">
        <v>1.441860465116279</v>
      </c>
      <c r="L96">
        <v>5.375</v>
      </c>
      <c r="M96">
        <v>7</v>
      </c>
      <c r="N96">
        <v>1</v>
      </c>
      <c r="O96">
        <v>2</v>
      </c>
      <c r="P96">
        <v>62</v>
      </c>
      <c r="Q96">
        <v>43</v>
      </c>
      <c r="R96">
        <v>8</v>
      </c>
      <c r="S96">
        <v>9</v>
      </c>
      <c r="T96">
        <v>325</v>
      </c>
      <c r="U96">
        <v>58</v>
      </c>
      <c r="V96">
        <v>28</v>
      </c>
      <c r="W96">
        <v>62</v>
      </c>
    </row>
    <row r="97" spans="1:23" x14ac:dyDescent="0.2">
      <c r="A97" t="s">
        <v>255</v>
      </c>
      <c r="B97" t="s">
        <v>157</v>
      </c>
      <c r="C97">
        <v>6097.198205947876</v>
      </c>
      <c r="D97">
        <v>3332</v>
      </c>
      <c r="E97">
        <v>6926</v>
      </c>
      <c r="F97">
        <v>10</v>
      </c>
      <c r="G97">
        <v>9</v>
      </c>
      <c r="H97">
        <v>57275181875660.273</v>
      </c>
      <c r="I97">
        <v>1.029126213592233</v>
      </c>
      <c r="J97">
        <v>2.058252427184466</v>
      </c>
      <c r="K97">
        <v>2</v>
      </c>
      <c r="L97">
        <v>11.444444444444439</v>
      </c>
      <c r="M97">
        <v>1212982689600000</v>
      </c>
      <c r="N97">
        <v>2</v>
      </c>
      <c r="O97">
        <v>4</v>
      </c>
      <c r="P97">
        <v>206</v>
      </c>
      <c r="Q97">
        <v>103</v>
      </c>
      <c r="R97">
        <v>9</v>
      </c>
      <c r="S97">
        <v>19</v>
      </c>
      <c r="T97">
        <v>1745</v>
      </c>
      <c r="U97">
        <v>144</v>
      </c>
      <c r="V97">
        <v>5899343733193007</v>
      </c>
      <c r="W97">
        <v>212</v>
      </c>
    </row>
    <row r="98" spans="1:23" x14ac:dyDescent="0.2">
      <c r="A98" t="s">
        <v>256</v>
      </c>
      <c r="B98" t="s">
        <v>157</v>
      </c>
      <c r="C98">
        <v>235.35336852073669</v>
      </c>
      <c r="D98">
        <v>1280</v>
      </c>
      <c r="E98">
        <v>19163</v>
      </c>
      <c r="F98">
        <v>7</v>
      </c>
      <c r="G98">
        <v>6</v>
      </c>
      <c r="H98">
        <v>3.125E-2</v>
      </c>
      <c r="I98">
        <v>1</v>
      </c>
      <c r="J98">
        <v>2.65625</v>
      </c>
      <c r="K98">
        <v>2.65625</v>
      </c>
      <c r="L98">
        <v>5.333333333333333</v>
      </c>
      <c r="M98">
        <v>1</v>
      </c>
      <c r="N98">
        <v>1</v>
      </c>
      <c r="O98">
        <v>5</v>
      </c>
      <c r="P98">
        <v>85</v>
      </c>
      <c r="Q98">
        <v>32</v>
      </c>
      <c r="R98">
        <v>6</v>
      </c>
      <c r="S98">
        <v>7</v>
      </c>
      <c r="T98">
        <v>139</v>
      </c>
      <c r="U98">
        <v>22</v>
      </c>
      <c r="V98">
        <v>1</v>
      </c>
      <c r="W98">
        <v>85</v>
      </c>
    </row>
    <row r="99" spans="1:23" x14ac:dyDescent="0.2">
      <c r="A99" t="s">
        <v>257</v>
      </c>
      <c r="B99" t="s">
        <v>158</v>
      </c>
      <c r="C99" t="s">
        <v>159</v>
      </c>
      <c r="D99" t="s">
        <v>159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  <c r="J99" t="s">
        <v>159</v>
      </c>
      <c r="K99" t="s">
        <v>159</v>
      </c>
      <c r="L99" t="s">
        <v>159</v>
      </c>
      <c r="M99" t="s">
        <v>159</v>
      </c>
      <c r="N99" t="s">
        <v>159</v>
      </c>
      <c r="O99" t="s">
        <v>159</v>
      </c>
      <c r="P99" t="s">
        <v>159</v>
      </c>
      <c r="Q99" t="s">
        <v>159</v>
      </c>
      <c r="R99" t="s">
        <v>159</v>
      </c>
      <c r="S99" t="s">
        <v>159</v>
      </c>
      <c r="T99" t="s">
        <v>159</v>
      </c>
      <c r="U99" t="s">
        <v>159</v>
      </c>
      <c r="V99" t="s">
        <v>159</v>
      </c>
      <c r="W99" t="s">
        <v>159</v>
      </c>
    </row>
    <row r="100" spans="1:23" x14ac:dyDescent="0.2">
      <c r="A100" t="s">
        <v>258</v>
      </c>
      <c r="B100" t="s">
        <v>157</v>
      </c>
      <c r="C100">
        <v>3.0968120098114018</v>
      </c>
      <c r="D100">
        <v>271</v>
      </c>
      <c r="E100">
        <v>550</v>
      </c>
      <c r="F100">
        <v>11</v>
      </c>
      <c r="G100">
        <v>9</v>
      </c>
      <c r="H100">
        <v>2.7162162162162158</v>
      </c>
      <c r="I100">
        <v>1</v>
      </c>
      <c r="J100">
        <v>1.459459459459459</v>
      </c>
      <c r="K100">
        <v>1.459459459459459</v>
      </c>
      <c r="L100">
        <v>8.2222222222222214</v>
      </c>
      <c r="M100">
        <v>4</v>
      </c>
      <c r="N100">
        <v>1</v>
      </c>
      <c r="O100">
        <v>2</v>
      </c>
      <c r="P100">
        <v>108</v>
      </c>
      <c r="Q100">
        <v>74</v>
      </c>
      <c r="R100">
        <v>9</v>
      </c>
      <c r="S100">
        <v>11</v>
      </c>
      <c r="T100">
        <v>706</v>
      </c>
      <c r="U100">
        <v>83</v>
      </c>
      <c r="V100">
        <v>201</v>
      </c>
      <c r="W100">
        <v>108</v>
      </c>
    </row>
    <row r="101" spans="1:23" x14ac:dyDescent="0.2">
      <c r="A101" t="s">
        <v>259</v>
      </c>
      <c r="B101" t="s">
        <v>158</v>
      </c>
      <c r="C101" t="s">
        <v>159</v>
      </c>
      <c r="D101" t="s">
        <v>159</v>
      </c>
      <c r="E101" t="s">
        <v>159</v>
      </c>
      <c r="F101" t="s">
        <v>159</v>
      </c>
      <c r="G101" t="s">
        <v>159</v>
      </c>
      <c r="H101" t="s">
        <v>159</v>
      </c>
      <c r="I101" t="s">
        <v>159</v>
      </c>
      <c r="J101" t="s">
        <v>159</v>
      </c>
      <c r="K101" t="s">
        <v>159</v>
      </c>
      <c r="L101" t="s">
        <v>159</v>
      </c>
      <c r="M101" t="s">
        <v>159</v>
      </c>
      <c r="N101" t="s">
        <v>159</v>
      </c>
      <c r="O101" t="s">
        <v>159</v>
      </c>
      <c r="P101" t="s">
        <v>159</v>
      </c>
      <c r="Q101" t="s">
        <v>159</v>
      </c>
      <c r="R101" t="s">
        <v>159</v>
      </c>
      <c r="S101" t="s">
        <v>159</v>
      </c>
      <c r="T101" t="s">
        <v>159</v>
      </c>
      <c r="U101" t="s">
        <v>159</v>
      </c>
      <c r="V101" t="s">
        <v>159</v>
      </c>
      <c r="W101" t="s">
        <v>159</v>
      </c>
    </row>
    <row r="102" spans="1:23" x14ac:dyDescent="0.2">
      <c r="A102" t="s">
        <v>260</v>
      </c>
      <c r="B102" t="s">
        <v>157</v>
      </c>
      <c r="C102">
        <v>210.94109535217291</v>
      </c>
      <c r="D102">
        <v>618</v>
      </c>
      <c r="E102">
        <v>1256</v>
      </c>
      <c r="F102">
        <v>9</v>
      </c>
      <c r="G102">
        <v>8</v>
      </c>
      <c r="H102">
        <v>1.55</v>
      </c>
      <c r="I102">
        <v>1.1208791208791209</v>
      </c>
      <c r="J102">
        <v>1.7</v>
      </c>
      <c r="K102">
        <v>1.5166666666666671</v>
      </c>
      <c r="L102">
        <v>7.5</v>
      </c>
      <c r="M102">
        <v>2</v>
      </c>
      <c r="N102">
        <v>2</v>
      </c>
      <c r="O102">
        <v>2</v>
      </c>
      <c r="P102">
        <v>91</v>
      </c>
      <c r="Q102">
        <v>60</v>
      </c>
      <c r="R102">
        <v>8</v>
      </c>
      <c r="S102">
        <v>17</v>
      </c>
      <c r="T102">
        <v>918</v>
      </c>
      <c r="U102">
        <v>121</v>
      </c>
      <c r="V102">
        <v>93</v>
      </c>
      <c r="W102">
        <v>102</v>
      </c>
    </row>
    <row r="103" spans="1:23" x14ac:dyDescent="0.2">
      <c r="A103" t="s">
        <v>261</v>
      </c>
      <c r="B103" t="s">
        <v>157</v>
      </c>
      <c r="C103">
        <v>5371.1564588546753</v>
      </c>
      <c r="D103">
        <v>6626</v>
      </c>
      <c r="E103">
        <v>23904</v>
      </c>
      <c r="F103">
        <v>13</v>
      </c>
      <c r="G103">
        <v>12</v>
      </c>
      <c r="H103">
        <v>5375.391304347826</v>
      </c>
      <c r="I103">
        <v>1.112676056338028</v>
      </c>
      <c r="J103">
        <v>1.7173913043478259</v>
      </c>
      <c r="K103">
        <v>1.543478260869565</v>
      </c>
      <c r="L103">
        <v>3.833333333333333</v>
      </c>
      <c r="M103">
        <v>39701</v>
      </c>
      <c r="N103">
        <v>2</v>
      </c>
      <c r="O103">
        <v>5</v>
      </c>
      <c r="P103">
        <v>71</v>
      </c>
      <c r="Q103">
        <v>46</v>
      </c>
      <c r="R103">
        <v>12</v>
      </c>
      <c r="S103">
        <v>25</v>
      </c>
      <c r="T103">
        <v>1071</v>
      </c>
      <c r="U103">
        <v>272</v>
      </c>
      <c r="V103">
        <v>247268</v>
      </c>
      <c r="W103">
        <v>79</v>
      </c>
    </row>
    <row r="104" spans="1:23" x14ac:dyDescent="0.2">
      <c r="A104" t="s">
        <v>262</v>
      </c>
      <c r="B104" t="s">
        <v>157</v>
      </c>
      <c r="C104">
        <v>19.423501014709469</v>
      </c>
      <c r="D104">
        <v>346</v>
      </c>
      <c r="E104">
        <v>589</v>
      </c>
      <c r="F104">
        <v>9</v>
      </c>
      <c r="G104">
        <v>8</v>
      </c>
      <c r="H104">
        <v>51.392156862745097</v>
      </c>
      <c r="I104">
        <v>1.0543478260869561</v>
      </c>
      <c r="J104">
        <v>1.9019607843137261</v>
      </c>
      <c r="K104">
        <v>1.803921568627451</v>
      </c>
      <c r="L104">
        <v>6.375</v>
      </c>
      <c r="M104">
        <v>284</v>
      </c>
      <c r="N104">
        <v>2</v>
      </c>
      <c r="O104">
        <v>3</v>
      </c>
      <c r="P104">
        <v>92</v>
      </c>
      <c r="Q104">
        <v>51</v>
      </c>
      <c r="R104">
        <v>8</v>
      </c>
      <c r="S104">
        <v>10</v>
      </c>
      <c r="T104">
        <v>413</v>
      </c>
      <c r="U104">
        <v>62</v>
      </c>
      <c r="V104">
        <v>2621</v>
      </c>
      <c r="W104">
        <v>97</v>
      </c>
    </row>
    <row r="105" spans="1:23" x14ac:dyDescent="0.2">
      <c r="A105" t="s">
        <v>263</v>
      </c>
      <c r="B105" t="s">
        <v>157</v>
      </c>
      <c r="C105">
        <v>50.571019887924187</v>
      </c>
      <c r="D105">
        <v>2263</v>
      </c>
      <c r="E105">
        <v>2527</v>
      </c>
      <c r="F105">
        <v>13</v>
      </c>
      <c r="G105">
        <v>12</v>
      </c>
      <c r="H105">
        <v>5375.391304347826</v>
      </c>
      <c r="I105">
        <v>1.128571428571429</v>
      </c>
      <c r="J105">
        <v>1.7173913043478259</v>
      </c>
      <c r="K105">
        <v>1.5217391304347829</v>
      </c>
      <c r="L105">
        <v>3.833333333333333</v>
      </c>
      <c r="M105">
        <v>39701</v>
      </c>
      <c r="N105">
        <v>2</v>
      </c>
      <c r="O105">
        <v>5</v>
      </c>
      <c r="P105">
        <v>70</v>
      </c>
      <c r="Q105">
        <v>46</v>
      </c>
      <c r="R105">
        <v>12</v>
      </c>
      <c r="S105">
        <v>25</v>
      </c>
      <c r="T105">
        <v>1071</v>
      </c>
      <c r="U105">
        <v>272</v>
      </c>
      <c r="V105">
        <v>247268</v>
      </c>
      <c r="W105">
        <v>79</v>
      </c>
    </row>
    <row r="106" spans="1:23" x14ac:dyDescent="0.2">
      <c r="A106" t="s">
        <v>264</v>
      </c>
      <c r="B106" t="s">
        <v>157</v>
      </c>
      <c r="C106">
        <v>675.2412428855896</v>
      </c>
      <c r="D106">
        <v>1592</v>
      </c>
      <c r="E106">
        <v>4279</v>
      </c>
      <c r="F106">
        <v>10</v>
      </c>
      <c r="G106">
        <v>9</v>
      </c>
      <c r="H106">
        <v>0.67924528301886788</v>
      </c>
      <c r="I106">
        <v>1</v>
      </c>
      <c r="J106">
        <v>1.4905660377358489</v>
      </c>
      <c r="K106">
        <v>1.4905660377358489</v>
      </c>
      <c r="L106">
        <v>5.8888888888888893</v>
      </c>
      <c r="M106">
        <v>8</v>
      </c>
      <c r="N106">
        <v>1</v>
      </c>
      <c r="O106">
        <v>2</v>
      </c>
      <c r="P106">
        <v>79</v>
      </c>
      <c r="Q106">
        <v>53</v>
      </c>
      <c r="R106">
        <v>9</v>
      </c>
      <c r="S106">
        <v>10</v>
      </c>
      <c r="T106">
        <v>451</v>
      </c>
      <c r="U106">
        <v>74</v>
      </c>
      <c r="V106">
        <v>36</v>
      </c>
      <c r="W106">
        <v>79</v>
      </c>
    </row>
    <row r="107" spans="1:23" x14ac:dyDescent="0.2">
      <c r="A107" t="s">
        <v>265</v>
      </c>
      <c r="B107" t="s">
        <v>157</v>
      </c>
      <c r="C107">
        <v>55.076455354690552</v>
      </c>
      <c r="D107">
        <v>634</v>
      </c>
      <c r="E107">
        <v>918</v>
      </c>
      <c r="F107">
        <v>9</v>
      </c>
      <c r="G107">
        <v>8</v>
      </c>
      <c r="H107">
        <v>0.65116279069767447</v>
      </c>
      <c r="I107">
        <v>1</v>
      </c>
      <c r="J107">
        <v>1.441860465116279</v>
      </c>
      <c r="K107">
        <v>1.441860465116279</v>
      </c>
      <c r="L107">
        <v>5.375</v>
      </c>
      <c r="M107">
        <v>7</v>
      </c>
      <c r="N107">
        <v>1</v>
      </c>
      <c r="O107">
        <v>2</v>
      </c>
      <c r="P107">
        <v>62</v>
      </c>
      <c r="Q107">
        <v>43</v>
      </c>
      <c r="R107">
        <v>8</v>
      </c>
      <c r="S107">
        <v>9</v>
      </c>
      <c r="T107">
        <v>325</v>
      </c>
      <c r="U107">
        <v>58</v>
      </c>
      <c r="V107">
        <v>28</v>
      </c>
      <c r="W107">
        <v>62</v>
      </c>
    </row>
    <row r="108" spans="1:23" x14ac:dyDescent="0.2">
      <c r="A108" t="s">
        <v>266</v>
      </c>
      <c r="B108" t="s">
        <v>157</v>
      </c>
      <c r="C108">
        <v>458.95461654663092</v>
      </c>
      <c r="D108">
        <v>719</v>
      </c>
      <c r="E108">
        <v>5378</v>
      </c>
      <c r="F108">
        <v>7</v>
      </c>
      <c r="G108">
        <v>6</v>
      </c>
      <c r="H108">
        <v>6.25E-2</v>
      </c>
      <c r="I108">
        <v>0.98630136986301364</v>
      </c>
      <c r="J108">
        <v>2.25</v>
      </c>
      <c r="K108">
        <v>2.28125</v>
      </c>
      <c r="L108">
        <v>5.333333333333333</v>
      </c>
      <c r="M108">
        <v>1</v>
      </c>
      <c r="N108">
        <v>1</v>
      </c>
      <c r="O108">
        <v>5</v>
      </c>
      <c r="P108">
        <v>73</v>
      </c>
      <c r="Q108">
        <v>32</v>
      </c>
      <c r="R108">
        <v>6</v>
      </c>
      <c r="S108">
        <v>6</v>
      </c>
      <c r="T108">
        <v>120</v>
      </c>
      <c r="U108">
        <v>18</v>
      </c>
      <c r="V108">
        <v>2</v>
      </c>
      <c r="W108">
        <v>72</v>
      </c>
    </row>
    <row r="109" spans="1:23" x14ac:dyDescent="0.2">
      <c r="A109" t="s">
        <v>267</v>
      </c>
      <c r="B109" t="s">
        <v>157</v>
      </c>
      <c r="C109">
        <v>101.6979141235352</v>
      </c>
      <c r="D109">
        <v>3631</v>
      </c>
      <c r="E109">
        <v>8960</v>
      </c>
      <c r="F109">
        <v>13</v>
      </c>
      <c r="G109">
        <v>12</v>
      </c>
      <c r="H109">
        <v>5549.304347826087</v>
      </c>
      <c r="I109">
        <v>1.128571428571429</v>
      </c>
      <c r="J109">
        <v>1.7173913043478259</v>
      </c>
      <c r="K109">
        <v>1.5217391304347829</v>
      </c>
      <c r="L109">
        <v>3.833333333333333</v>
      </c>
      <c r="M109">
        <v>39701</v>
      </c>
      <c r="N109">
        <v>2</v>
      </c>
      <c r="O109">
        <v>5</v>
      </c>
      <c r="P109">
        <v>70</v>
      </c>
      <c r="Q109">
        <v>46</v>
      </c>
      <c r="R109">
        <v>12</v>
      </c>
      <c r="S109">
        <v>25</v>
      </c>
      <c r="T109">
        <v>1071</v>
      </c>
      <c r="U109">
        <v>272</v>
      </c>
      <c r="V109">
        <v>255268</v>
      </c>
      <c r="W109">
        <v>79</v>
      </c>
    </row>
    <row r="110" spans="1:23" x14ac:dyDescent="0.2">
      <c r="A110" t="s">
        <v>268</v>
      </c>
      <c r="B110" t="s">
        <v>157</v>
      </c>
      <c r="C110">
        <v>115.6577293872833</v>
      </c>
      <c r="D110">
        <v>3631</v>
      </c>
      <c r="E110">
        <v>8962</v>
      </c>
      <c r="F110">
        <v>13</v>
      </c>
      <c r="G110">
        <v>12</v>
      </c>
      <c r="H110">
        <v>5549.304347826087</v>
      </c>
      <c r="I110">
        <v>1.128571428571429</v>
      </c>
      <c r="J110">
        <v>1.7173913043478259</v>
      </c>
      <c r="K110">
        <v>1.5217391304347829</v>
      </c>
      <c r="L110">
        <v>3.833333333333333</v>
      </c>
      <c r="M110">
        <v>39701</v>
      </c>
      <c r="N110">
        <v>2</v>
      </c>
      <c r="O110">
        <v>5</v>
      </c>
      <c r="P110">
        <v>70</v>
      </c>
      <c r="Q110">
        <v>46</v>
      </c>
      <c r="R110">
        <v>12</v>
      </c>
      <c r="S110">
        <v>25</v>
      </c>
      <c r="T110">
        <v>1071</v>
      </c>
      <c r="U110">
        <v>272</v>
      </c>
      <c r="V110">
        <v>255268</v>
      </c>
      <c r="W110">
        <v>79</v>
      </c>
    </row>
    <row r="111" spans="1:23" x14ac:dyDescent="0.2">
      <c r="A111" t="s">
        <v>269</v>
      </c>
      <c r="B111" t="s">
        <v>157</v>
      </c>
      <c r="C111">
        <v>21.346420764923099</v>
      </c>
      <c r="D111">
        <v>386</v>
      </c>
      <c r="E111">
        <v>396</v>
      </c>
      <c r="F111">
        <v>10</v>
      </c>
      <c r="G111">
        <v>9</v>
      </c>
      <c r="H111">
        <v>9.6393442622950793</v>
      </c>
      <c r="I111">
        <v>1.008403361344538</v>
      </c>
      <c r="J111">
        <v>1.9672131147540981</v>
      </c>
      <c r="K111">
        <v>1.9508196721311479</v>
      </c>
      <c r="L111">
        <v>6.7777777777777777</v>
      </c>
      <c r="M111">
        <v>100</v>
      </c>
      <c r="N111">
        <v>2</v>
      </c>
      <c r="O111">
        <v>4</v>
      </c>
      <c r="P111">
        <v>119</v>
      </c>
      <c r="Q111">
        <v>61</v>
      </c>
      <c r="R111">
        <v>9</v>
      </c>
      <c r="S111">
        <v>19</v>
      </c>
      <c r="T111">
        <v>1039</v>
      </c>
      <c r="U111">
        <v>147</v>
      </c>
      <c r="V111">
        <v>588</v>
      </c>
      <c r="W111">
        <v>120</v>
      </c>
    </row>
    <row r="112" spans="1:23" x14ac:dyDescent="0.2">
      <c r="A112" t="s">
        <v>270</v>
      </c>
      <c r="B112" t="s">
        <v>157</v>
      </c>
      <c r="C112">
        <v>20.704097747802731</v>
      </c>
      <c r="D112">
        <v>346</v>
      </c>
      <c r="E112">
        <v>588</v>
      </c>
      <c r="F112">
        <v>9</v>
      </c>
      <c r="G112">
        <v>8</v>
      </c>
      <c r="H112">
        <v>129.49019607843141</v>
      </c>
      <c r="I112">
        <v>1.0543478260869561</v>
      </c>
      <c r="J112">
        <v>1.9019607843137261</v>
      </c>
      <c r="K112">
        <v>1.803921568627451</v>
      </c>
      <c r="L112">
        <v>6.375</v>
      </c>
      <c r="M112">
        <v>1056</v>
      </c>
      <c r="N112">
        <v>2</v>
      </c>
      <c r="O112">
        <v>3</v>
      </c>
      <c r="P112">
        <v>92</v>
      </c>
      <c r="Q112">
        <v>51</v>
      </c>
      <c r="R112">
        <v>8</v>
      </c>
      <c r="S112">
        <v>10</v>
      </c>
      <c r="T112">
        <v>413</v>
      </c>
      <c r="U112">
        <v>62</v>
      </c>
      <c r="V112">
        <v>6604</v>
      </c>
      <c r="W112">
        <v>97</v>
      </c>
    </row>
    <row r="113" spans="1:23" x14ac:dyDescent="0.2">
      <c r="A113" t="s">
        <v>271</v>
      </c>
      <c r="B113" t="s">
        <v>157</v>
      </c>
      <c r="C113">
        <v>190.5425884723663</v>
      </c>
      <c r="D113">
        <v>115</v>
      </c>
      <c r="E113">
        <v>8666</v>
      </c>
      <c r="F113">
        <v>7</v>
      </c>
      <c r="G113">
        <v>4</v>
      </c>
      <c r="H113">
        <v>9</v>
      </c>
      <c r="I113">
        <v>1.142857142857143</v>
      </c>
      <c r="J113">
        <v>4</v>
      </c>
      <c r="K113">
        <v>3.5</v>
      </c>
      <c r="L113">
        <v>24</v>
      </c>
      <c r="M113">
        <v>24</v>
      </c>
      <c r="N113">
        <v>2</v>
      </c>
      <c r="O113">
        <v>5</v>
      </c>
      <c r="P113">
        <v>336</v>
      </c>
      <c r="Q113">
        <v>96</v>
      </c>
      <c r="R113">
        <v>4</v>
      </c>
      <c r="S113">
        <v>11</v>
      </c>
      <c r="T113">
        <v>672</v>
      </c>
      <c r="U113">
        <v>20</v>
      </c>
      <c r="V113">
        <v>864</v>
      </c>
      <c r="W113">
        <v>384</v>
      </c>
    </row>
    <row r="114" spans="1:23" x14ac:dyDescent="0.2">
      <c r="A114" t="s">
        <v>272</v>
      </c>
      <c r="B114" t="s">
        <v>157</v>
      </c>
      <c r="C114">
        <v>166.5950417518616</v>
      </c>
      <c r="D114">
        <v>632</v>
      </c>
      <c r="E114">
        <v>1296</v>
      </c>
      <c r="F114">
        <v>9</v>
      </c>
      <c r="G114">
        <v>8</v>
      </c>
      <c r="H114">
        <v>1.55</v>
      </c>
      <c r="I114">
        <v>1.1208791208791209</v>
      </c>
      <c r="J114">
        <v>1.7</v>
      </c>
      <c r="K114">
        <v>1.5166666666666671</v>
      </c>
      <c r="L114">
        <v>7.5</v>
      </c>
      <c r="M114">
        <v>2</v>
      </c>
      <c r="N114">
        <v>2</v>
      </c>
      <c r="O114">
        <v>2</v>
      </c>
      <c r="P114">
        <v>91</v>
      </c>
      <c r="Q114">
        <v>60</v>
      </c>
      <c r="R114">
        <v>8</v>
      </c>
      <c r="S114">
        <v>17</v>
      </c>
      <c r="T114">
        <v>918</v>
      </c>
      <c r="U114">
        <v>121</v>
      </c>
      <c r="V114">
        <v>93</v>
      </c>
      <c r="W114">
        <v>102</v>
      </c>
    </row>
    <row r="115" spans="1:23" x14ac:dyDescent="0.2">
      <c r="A115" t="s">
        <v>273</v>
      </c>
      <c r="B115" t="s">
        <v>157</v>
      </c>
      <c r="C115">
        <v>9.2818689346313477</v>
      </c>
      <c r="D115">
        <v>615</v>
      </c>
      <c r="E115">
        <v>1081</v>
      </c>
      <c r="F115">
        <v>9</v>
      </c>
      <c r="G115">
        <v>8</v>
      </c>
      <c r="H115">
        <v>0.65116279069767447</v>
      </c>
      <c r="I115">
        <v>1</v>
      </c>
      <c r="J115">
        <v>1.441860465116279</v>
      </c>
      <c r="K115">
        <v>1.441860465116279</v>
      </c>
      <c r="L115">
        <v>5.375</v>
      </c>
      <c r="M115">
        <v>7</v>
      </c>
      <c r="N115">
        <v>1</v>
      </c>
      <c r="O115">
        <v>2</v>
      </c>
      <c r="P115">
        <v>62</v>
      </c>
      <c r="Q115">
        <v>43</v>
      </c>
      <c r="R115">
        <v>8</v>
      </c>
      <c r="S115">
        <v>9</v>
      </c>
      <c r="T115">
        <v>325</v>
      </c>
      <c r="U115">
        <v>58</v>
      </c>
      <c r="V115">
        <v>28</v>
      </c>
      <c r="W115">
        <v>62</v>
      </c>
    </row>
    <row r="116" spans="1:23" x14ac:dyDescent="0.2">
      <c r="A116" t="s">
        <v>274</v>
      </c>
      <c r="B116" t="s">
        <v>157</v>
      </c>
      <c r="C116">
        <v>2337.5198910236359</v>
      </c>
      <c r="D116">
        <v>2323</v>
      </c>
      <c r="E116">
        <v>4235</v>
      </c>
      <c r="F116">
        <v>10</v>
      </c>
      <c r="G116">
        <v>9</v>
      </c>
      <c r="H116">
        <v>55861738986339.883</v>
      </c>
      <c r="I116">
        <v>1.019047619047619</v>
      </c>
      <c r="J116">
        <v>2.0776699029126209</v>
      </c>
      <c r="K116">
        <v>2.0388349514563111</v>
      </c>
      <c r="L116">
        <v>11.444444444444439</v>
      </c>
      <c r="M116">
        <v>1212982689600000</v>
      </c>
      <c r="N116">
        <v>2</v>
      </c>
      <c r="O116">
        <v>4</v>
      </c>
      <c r="P116">
        <v>210</v>
      </c>
      <c r="Q116">
        <v>103</v>
      </c>
      <c r="R116">
        <v>9</v>
      </c>
      <c r="S116">
        <v>19</v>
      </c>
      <c r="T116">
        <v>1743</v>
      </c>
      <c r="U116">
        <v>144</v>
      </c>
      <c r="V116">
        <v>5753759115593007</v>
      </c>
      <c r="W116">
        <v>214</v>
      </c>
    </row>
    <row r="117" spans="1:23" x14ac:dyDescent="0.2">
      <c r="A117" t="s">
        <v>275</v>
      </c>
      <c r="B117" t="s">
        <v>157</v>
      </c>
      <c r="C117">
        <v>5727.511063337326</v>
      </c>
      <c r="D117">
        <v>6920</v>
      </c>
      <c r="E117">
        <v>25766</v>
      </c>
      <c r="F117">
        <v>13</v>
      </c>
      <c r="G117">
        <v>12</v>
      </c>
      <c r="H117">
        <v>5462.347826086957</v>
      </c>
      <c r="I117">
        <v>1.1159420289855071</v>
      </c>
      <c r="J117">
        <v>1.673913043478261</v>
      </c>
      <c r="K117">
        <v>1.5</v>
      </c>
      <c r="L117">
        <v>3.833333333333333</v>
      </c>
      <c r="M117">
        <v>39701</v>
      </c>
      <c r="N117">
        <v>2</v>
      </c>
      <c r="O117">
        <v>5</v>
      </c>
      <c r="P117">
        <v>69</v>
      </c>
      <c r="Q117">
        <v>46</v>
      </c>
      <c r="R117">
        <v>12</v>
      </c>
      <c r="S117">
        <v>25</v>
      </c>
      <c r="T117">
        <v>1073</v>
      </c>
      <c r="U117">
        <v>273</v>
      </c>
      <c r="V117">
        <v>251268</v>
      </c>
      <c r="W117">
        <v>77</v>
      </c>
    </row>
    <row r="118" spans="1:23" x14ac:dyDescent="0.2">
      <c r="A118" t="s">
        <v>276</v>
      </c>
      <c r="B118" t="s">
        <v>157</v>
      </c>
      <c r="C118">
        <v>63.954511165618896</v>
      </c>
      <c r="D118">
        <v>411</v>
      </c>
      <c r="E118">
        <v>842</v>
      </c>
      <c r="F118">
        <v>9</v>
      </c>
      <c r="G118">
        <v>8</v>
      </c>
      <c r="H118">
        <v>123.5686274509804</v>
      </c>
      <c r="I118">
        <v>1.056179775280899</v>
      </c>
      <c r="J118">
        <v>1.8431372549019609</v>
      </c>
      <c r="K118">
        <v>1.7450980392156861</v>
      </c>
      <c r="L118">
        <v>6.375</v>
      </c>
      <c r="M118">
        <v>1056</v>
      </c>
      <c r="N118">
        <v>2</v>
      </c>
      <c r="O118">
        <v>3</v>
      </c>
      <c r="P118">
        <v>89</v>
      </c>
      <c r="Q118">
        <v>51</v>
      </c>
      <c r="R118">
        <v>8</v>
      </c>
      <c r="S118">
        <v>10</v>
      </c>
      <c r="T118">
        <v>416</v>
      </c>
      <c r="U118">
        <v>63</v>
      </c>
      <c r="V118">
        <v>6302</v>
      </c>
      <c r="W118">
        <v>94</v>
      </c>
    </row>
    <row r="119" spans="1:23" x14ac:dyDescent="0.2">
      <c r="A119" t="s">
        <v>277</v>
      </c>
      <c r="B119" t="s">
        <v>157</v>
      </c>
      <c r="C119">
        <v>18.036967992782589</v>
      </c>
      <c r="D119">
        <v>485</v>
      </c>
      <c r="E119">
        <v>861</v>
      </c>
      <c r="F119">
        <v>9</v>
      </c>
      <c r="G119">
        <v>8</v>
      </c>
      <c r="H119">
        <v>0.65116279069767447</v>
      </c>
      <c r="I119">
        <v>1</v>
      </c>
      <c r="J119">
        <v>1.441860465116279</v>
      </c>
      <c r="K119">
        <v>1.441860465116279</v>
      </c>
      <c r="L119">
        <v>5.375</v>
      </c>
      <c r="M119">
        <v>7</v>
      </c>
      <c r="N119">
        <v>1</v>
      </c>
      <c r="O119">
        <v>2</v>
      </c>
      <c r="P119">
        <v>62</v>
      </c>
      <c r="Q119">
        <v>43</v>
      </c>
      <c r="R119">
        <v>8</v>
      </c>
      <c r="S119">
        <v>9</v>
      </c>
      <c r="T119">
        <v>325</v>
      </c>
      <c r="U119">
        <v>58</v>
      </c>
      <c r="V119">
        <v>28</v>
      </c>
      <c r="W119">
        <v>62</v>
      </c>
    </row>
    <row r="120" spans="1:23" x14ac:dyDescent="0.2">
      <c r="A120" t="s">
        <v>278</v>
      </c>
      <c r="B120" t="s">
        <v>157</v>
      </c>
      <c r="C120">
        <v>3.5147914886474609</v>
      </c>
      <c r="D120">
        <v>201</v>
      </c>
      <c r="E120">
        <v>143</v>
      </c>
      <c r="F120">
        <v>7</v>
      </c>
      <c r="G120">
        <v>6</v>
      </c>
      <c r="H120">
        <v>5287.0853658536589</v>
      </c>
      <c r="I120">
        <v>1</v>
      </c>
      <c r="J120">
        <v>1.4512195121951219</v>
      </c>
      <c r="K120">
        <v>1.4512195121951219</v>
      </c>
      <c r="L120">
        <v>13.66666666666667</v>
      </c>
      <c r="M120">
        <v>57031</v>
      </c>
      <c r="N120">
        <v>1</v>
      </c>
      <c r="O120">
        <v>2</v>
      </c>
      <c r="P120">
        <v>119</v>
      </c>
      <c r="Q120">
        <v>82</v>
      </c>
      <c r="R120">
        <v>6</v>
      </c>
      <c r="S120">
        <v>7</v>
      </c>
      <c r="T120">
        <v>455</v>
      </c>
      <c r="U120">
        <v>30</v>
      </c>
      <c r="V120">
        <v>433541</v>
      </c>
      <c r="W120">
        <v>119</v>
      </c>
    </row>
    <row r="121" spans="1:23" x14ac:dyDescent="0.2">
      <c r="A121" t="s">
        <v>279</v>
      </c>
      <c r="B121" t="s">
        <v>158</v>
      </c>
      <c r="C121" t="s">
        <v>159</v>
      </c>
      <c r="D121" t="s">
        <v>159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  <c r="J121" t="s">
        <v>159</v>
      </c>
      <c r="K121" t="s">
        <v>159</v>
      </c>
      <c r="L121" t="s">
        <v>159</v>
      </c>
      <c r="M121" t="s">
        <v>159</v>
      </c>
      <c r="N121" t="s">
        <v>159</v>
      </c>
      <c r="O121" t="s">
        <v>159</v>
      </c>
      <c r="P121" t="s">
        <v>159</v>
      </c>
      <c r="Q121" t="s">
        <v>159</v>
      </c>
      <c r="R121" t="s">
        <v>159</v>
      </c>
      <c r="S121" t="s">
        <v>159</v>
      </c>
      <c r="T121" t="s">
        <v>159</v>
      </c>
      <c r="U121" t="s">
        <v>159</v>
      </c>
      <c r="V121" t="s">
        <v>159</v>
      </c>
      <c r="W121" t="s">
        <v>159</v>
      </c>
    </row>
    <row r="122" spans="1:23" x14ac:dyDescent="0.2">
      <c r="A122" t="s">
        <v>280</v>
      </c>
      <c r="B122" t="s">
        <v>157</v>
      </c>
      <c r="C122">
        <v>3.0331497192382808</v>
      </c>
      <c r="D122">
        <v>298</v>
      </c>
      <c r="E122">
        <v>665</v>
      </c>
      <c r="F122">
        <v>11</v>
      </c>
      <c r="G122">
        <v>9</v>
      </c>
      <c r="H122">
        <v>2.7162162162162158</v>
      </c>
      <c r="I122">
        <v>1</v>
      </c>
      <c r="J122">
        <v>1.459459459459459</v>
      </c>
      <c r="K122">
        <v>1.459459459459459</v>
      </c>
      <c r="L122">
        <v>8.2222222222222214</v>
      </c>
      <c r="M122">
        <v>4</v>
      </c>
      <c r="N122">
        <v>1</v>
      </c>
      <c r="O122">
        <v>2</v>
      </c>
      <c r="P122">
        <v>108</v>
      </c>
      <c r="Q122">
        <v>74</v>
      </c>
      <c r="R122">
        <v>9</v>
      </c>
      <c r="S122">
        <v>11</v>
      </c>
      <c r="T122">
        <v>706</v>
      </c>
      <c r="U122">
        <v>83</v>
      </c>
      <c r="V122">
        <v>201</v>
      </c>
      <c r="W122">
        <v>108</v>
      </c>
    </row>
    <row r="123" spans="1:23" x14ac:dyDescent="0.2">
      <c r="A123" t="s">
        <v>281</v>
      </c>
      <c r="B123" t="s">
        <v>157</v>
      </c>
      <c r="C123">
        <v>6.5300414562225342</v>
      </c>
      <c r="D123">
        <v>8671</v>
      </c>
      <c r="E123">
        <v>11892</v>
      </c>
      <c r="F123">
        <v>17</v>
      </c>
      <c r="G123">
        <v>16</v>
      </c>
      <c r="H123">
        <v>0</v>
      </c>
      <c r="I123">
        <v>1.032520325203252</v>
      </c>
      <c r="J123">
        <v>1.984375</v>
      </c>
      <c r="K123">
        <v>1.921875</v>
      </c>
      <c r="L123">
        <v>4</v>
      </c>
      <c r="M123">
        <v>0</v>
      </c>
      <c r="N123">
        <v>2</v>
      </c>
      <c r="O123">
        <v>2</v>
      </c>
      <c r="P123">
        <v>123</v>
      </c>
      <c r="Q123">
        <v>64</v>
      </c>
      <c r="R123">
        <v>16</v>
      </c>
      <c r="S123">
        <v>21</v>
      </c>
      <c r="T123">
        <v>1217</v>
      </c>
      <c r="U123">
        <v>304</v>
      </c>
      <c r="V123">
        <v>0</v>
      </c>
      <c r="W123">
        <v>127</v>
      </c>
    </row>
    <row r="124" spans="1:23" x14ac:dyDescent="0.2">
      <c r="A124" t="s">
        <v>282</v>
      </c>
      <c r="B124" t="s">
        <v>157</v>
      </c>
      <c r="C124">
        <v>1246.556990146637</v>
      </c>
      <c r="D124">
        <v>2569</v>
      </c>
      <c r="E124">
        <v>4182</v>
      </c>
      <c r="F124">
        <v>10</v>
      </c>
      <c r="G124">
        <v>9</v>
      </c>
      <c r="H124">
        <v>0.69811320754716977</v>
      </c>
      <c r="I124">
        <v>1</v>
      </c>
      <c r="J124">
        <v>2.0188679245283021</v>
      </c>
      <c r="K124">
        <v>2.0188679245283021</v>
      </c>
      <c r="L124">
        <v>5.8888888888888893</v>
      </c>
      <c r="M124">
        <v>8</v>
      </c>
      <c r="N124">
        <v>1</v>
      </c>
      <c r="O124">
        <v>3</v>
      </c>
      <c r="P124">
        <v>107</v>
      </c>
      <c r="Q124">
        <v>53</v>
      </c>
      <c r="R124">
        <v>9</v>
      </c>
      <c r="S124">
        <v>10</v>
      </c>
      <c r="T124">
        <v>423</v>
      </c>
      <c r="U124">
        <v>66</v>
      </c>
      <c r="V124">
        <v>37</v>
      </c>
      <c r="W124">
        <v>107</v>
      </c>
    </row>
    <row r="125" spans="1:23" x14ac:dyDescent="0.2">
      <c r="A125" t="s">
        <v>283</v>
      </c>
      <c r="B125" t="s">
        <v>157</v>
      </c>
      <c r="C125">
        <v>10.728012084960939</v>
      </c>
      <c r="D125">
        <v>281</v>
      </c>
      <c r="E125">
        <v>405</v>
      </c>
      <c r="F125">
        <v>9</v>
      </c>
      <c r="G125">
        <v>8</v>
      </c>
      <c r="H125">
        <v>130.19607843137251</v>
      </c>
      <c r="I125">
        <v>1.053763440860215</v>
      </c>
      <c r="J125">
        <v>1.92156862745098</v>
      </c>
      <c r="K125">
        <v>1.8235294117647061</v>
      </c>
      <c r="L125">
        <v>6.375</v>
      </c>
      <c r="M125">
        <v>1056</v>
      </c>
      <c r="N125">
        <v>2</v>
      </c>
      <c r="O125">
        <v>3</v>
      </c>
      <c r="P125">
        <v>93</v>
      </c>
      <c r="Q125">
        <v>51</v>
      </c>
      <c r="R125">
        <v>8</v>
      </c>
      <c r="S125">
        <v>10</v>
      </c>
      <c r="T125">
        <v>412</v>
      </c>
      <c r="U125">
        <v>62</v>
      </c>
      <c r="V125">
        <v>6640</v>
      </c>
      <c r="W125">
        <v>98</v>
      </c>
    </row>
    <row r="126" spans="1:23" x14ac:dyDescent="0.2">
      <c r="A126" t="s">
        <v>284</v>
      </c>
      <c r="B126" t="s">
        <v>157</v>
      </c>
      <c r="C126">
        <v>205.28843379020691</v>
      </c>
      <c r="D126">
        <v>788</v>
      </c>
      <c r="E126">
        <v>1359</v>
      </c>
      <c r="F126">
        <v>9</v>
      </c>
      <c r="G126">
        <v>8</v>
      </c>
      <c r="H126">
        <v>1.5166666666666671</v>
      </c>
      <c r="I126">
        <v>1.122222222222222</v>
      </c>
      <c r="J126">
        <v>1.6833333333333329</v>
      </c>
      <c r="K126">
        <v>1.5</v>
      </c>
      <c r="L126">
        <v>7.5</v>
      </c>
      <c r="M126">
        <v>2</v>
      </c>
      <c r="N126">
        <v>2</v>
      </c>
      <c r="O126">
        <v>2</v>
      </c>
      <c r="P126">
        <v>90</v>
      </c>
      <c r="Q126">
        <v>60</v>
      </c>
      <c r="R126">
        <v>8</v>
      </c>
      <c r="S126">
        <v>17</v>
      </c>
      <c r="T126">
        <v>919</v>
      </c>
      <c r="U126">
        <v>121</v>
      </c>
      <c r="V126">
        <v>91</v>
      </c>
      <c r="W126">
        <v>101</v>
      </c>
    </row>
    <row r="127" spans="1:23" x14ac:dyDescent="0.2">
      <c r="A127" t="s">
        <v>285</v>
      </c>
      <c r="B127" t="s">
        <v>157</v>
      </c>
      <c r="C127">
        <v>5.8333208560943604</v>
      </c>
      <c r="D127">
        <v>210</v>
      </c>
      <c r="E127">
        <v>202</v>
      </c>
      <c r="F127">
        <v>9</v>
      </c>
      <c r="G127">
        <v>8</v>
      </c>
      <c r="H127">
        <v>0.65116279069767447</v>
      </c>
      <c r="I127">
        <v>1</v>
      </c>
      <c r="J127">
        <v>1.441860465116279</v>
      </c>
      <c r="K127">
        <v>1.441860465116279</v>
      </c>
      <c r="L127">
        <v>5.375</v>
      </c>
      <c r="M127">
        <v>7</v>
      </c>
      <c r="N127">
        <v>1</v>
      </c>
      <c r="O127">
        <v>2</v>
      </c>
      <c r="P127">
        <v>62</v>
      </c>
      <c r="Q127">
        <v>43</v>
      </c>
      <c r="R127">
        <v>8</v>
      </c>
      <c r="S127">
        <v>9</v>
      </c>
      <c r="T127">
        <v>325</v>
      </c>
      <c r="U127">
        <v>59</v>
      </c>
      <c r="V127">
        <v>28</v>
      </c>
      <c r="W127">
        <v>62</v>
      </c>
    </row>
    <row r="128" spans="1:23" x14ac:dyDescent="0.2">
      <c r="A128" t="s">
        <v>286</v>
      </c>
      <c r="B128" t="s">
        <v>157</v>
      </c>
      <c r="C128">
        <v>29.063297271728519</v>
      </c>
      <c r="D128">
        <v>331</v>
      </c>
      <c r="E128">
        <v>514</v>
      </c>
      <c r="F128">
        <v>9</v>
      </c>
      <c r="G128">
        <v>8</v>
      </c>
      <c r="H128">
        <v>49.921568627450981</v>
      </c>
      <c r="I128">
        <v>1.055555555555556</v>
      </c>
      <c r="J128">
        <v>1.862745098039216</v>
      </c>
      <c r="K128">
        <v>1.7647058823529409</v>
      </c>
      <c r="L128">
        <v>6.375</v>
      </c>
      <c r="M128">
        <v>284</v>
      </c>
      <c r="N128">
        <v>2</v>
      </c>
      <c r="O128">
        <v>3</v>
      </c>
      <c r="P128">
        <v>90</v>
      </c>
      <c r="Q128">
        <v>51</v>
      </c>
      <c r="R128">
        <v>8</v>
      </c>
      <c r="S128">
        <v>10</v>
      </c>
      <c r="T128">
        <v>415</v>
      </c>
      <c r="U128">
        <v>62</v>
      </c>
      <c r="V128">
        <v>2546</v>
      </c>
      <c r="W128">
        <v>95</v>
      </c>
    </row>
    <row r="129" spans="1:23" x14ac:dyDescent="0.2">
      <c r="A129" t="s">
        <v>287</v>
      </c>
      <c r="B129" t="s">
        <v>157</v>
      </c>
      <c r="C129">
        <v>22.946589946746819</v>
      </c>
      <c r="D129">
        <v>182</v>
      </c>
      <c r="E129">
        <v>1994</v>
      </c>
      <c r="F129">
        <v>8</v>
      </c>
      <c r="G129">
        <v>6</v>
      </c>
      <c r="H129">
        <v>0</v>
      </c>
      <c r="I129">
        <v>1.058139534883721</v>
      </c>
      <c r="J129">
        <v>2.84375</v>
      </c>
      <c r="K129">
        <v>2.6875</v>
      </c>
      <c r="L129">
        <v>5.333333333333333</v>
      </c>
      <c r="M129">
        <v>0</v>
      </c>
      <c r="N129">
        <v>6</v>
      </c>
      <c r="O129">
        <v>5</v>
      </c>
      <c r="P129">
        <v>86</v>
      </c>
      <c r="Q129">
        <v>32</v>
      </c>
      <c r="R129">
        <v>6</v>
      </c>
      <c r="S129">
        <v>13</v>
      </c>
      <c r="T129">
        <v>325</v>
      </c>
      <c r="U129">
        <v>57</v>
      </c>
      <c r="V129">
        <v>0</v>
      </c>
      <c r="W129">
        <v>91</v>
      </c>
    </row>
    <row r="130" spans="1:23" x14ac:dyDescent="0.2">
      <c r="A130" t="s">
        <v>288</v>
      </c>
      <c r="B130" t="s">
        <v>157</v>
      </c>
      <c r="C130">
        <v>114.979775428772</v>
      </c>
      <c r="D130">
        <v>900</v>
      </c>
      <c r="E130">
        <v>16794</v>
      </c>
      <c r="F130">
        <v>7</v>
      </c>
      <c r="G130">
        <v>6</v>
      </c>
      <c r="H130">
        <v>3.125E-2</v>
      </c>
      <c r="I130">
        <v>1</v>
      </c>
      <c r="J130">
        <v>2.75</v>
      </c>
      <c r="K130">
        <v>2.75</v>
      </c>
      <c r="L130">
        <v>5.333333333333333</v>
      </c>
      <c r="M130">
        <v>1</v>
      </c>
      <c r="N130">
        <v>1</v>
      </c>
      <c r="O130">
        <v>5</v>
      </c>
      <c r="P130">
        <v>88</v>
      </c>
      <c r="Q130">
        <v>32</v>
      </c>
      <c r="R130">
        <v>6</v>
      </c>
      <c r="S130">
        <v>7</v>
      </c>
      <c r="T130">
        <v>136</v>
      </c>
      <c r="U130">
        <v>22</v>
      </c>
      <c r="V130">
        <v>1</v>
      </c>
      <c r="W130">
        <v>88</v>
      </c>
    </row>
    <row r="131" spans="1:23" x14ac:dyDescent="0.2">
      <c r="A131" t="s">
        <v>289</v>
      </c>
      <c r="B131" t="s">
        <v>157</v>
      </c>
      <c r="C131">
        <v>20.755593538284302</v>
      </c>
      <c r="D131">
        <v>571</v>
      </c>
      <c r="E131">
        <v>359</v>
      </c>
      <c r="F131">
        <v>11</v>
      </c>
      <c r="G131">
        <v>10</v>
      </c>
      <c r="H131">
        <v>152.22499999999999</v>
      </c>
      <c r="I131">
        <v>1</v>
      </c>
      <c r="J131">
        <v>1.5249999999999999</v>
      </c>
      <c r="K131">
        <v>1.5249999999999999</v>
      </c>
      <c r="L131">
        <v>4</v>
      </c>
      <c r="M131">
        <v>855</v>
      </c>
      <c r="N131">
        <v>1</v>
      </c>
      <c r="O131">
        <v>2</v>
      </c>
      <c r="P131">
        <v>61</v>
      </c>
      <c r="Q131">
        <v>40</v>
      </c>
      <c r="R131">
        <v>10</v>
      </c>
      <c r="S131">
        <v>11</v>
      </c>
      <c r="T131">
        <v>379</v>
      </c>
      <c r="U131">
        <v>92</v>
      </c>
      <c r="V131">
        <v>6089</v>
      </c>
      <c r="W131">
        <v>61</v>
      </c>
    </row>
    <row r="132" spans="1:23" x14ac:dyDescent="0.2">
      <c r="A132" t="s">
        <v>290</v>
      </c>
      <c r="B132" t="s">
        <v>157</v>
      </c>
      <c r="C132">
        <v>30.715471506118771</v>
      </c>
      <c r="D132">
        <v>2263</v>
      </c>
      <c r="E132">
        <v>2551</v>
      </c>
      <c r="F132">
        <v>13</v>
      </c>
      <c r="G132">
        <v>12</v>
      </c>
      <c r="H132">
        <v>5375.391304347826</v>
      </c>
      <c r="I132">
        <v>1.128571428571429</v>
      </c>
      <c r="J132">
        <v>1.7173913043478259</v>
      </c>
      <c r="K132">
        <v>1.5217391304347829</v>
      </c>
      <c r="L132">
        <v>3.833333333333333</v>
      </c>
      <c r="M132">
        <v>39701</v>
      </c>
      <c r="N132">
        <v>2</v>
      </c>
      <c r="O132">
        <v>5</v>
      </c>
      <c r="P132">
        <v>70</v>
      </c>
      <c r="Q132">
        <v>46</v>
      </c>
      <c r="R132">
        <v>12</v>
      </c>
      <c r="S132">
        <v>25</v>
      </c>
      <c r="T132">
        <v>1071</v>
      </c>
      <c r="U132">
        <v>272</v>
      </c>
      <c r="V132">
        <v>247268</v>
      </c>
      <c r="W132">
        <v>79</v>
      </c>
    </row>
    <row r="133" spans="1:23" x14ac:dyDescent="0.2">
      <c r="A133" t="s">
        <v>291</v>
      </c>
      <c r="B133" t="s">
        <v>157</v>
      </c>
      <c r="C133">
        <v>5350.7371251583099</v>
      </c>
      <c r="D133">
        <v>5400</v>
      </c>
      <c r="E133">
        <v>19472</v>
      </c>
      <c r="F133">
        <v>13</v>
      </c>
      <c r="G133">
        <v>12</v>
      </c>
      <c r="H133">
        <v>5375.391304347826</v>
      </c>
      <c r="I133">
        <v>1.2068965517241379</v>
      </c>
      <c r="J133">
        <v>1.5217391304347829</v>
      </c>
      <c r="K133">
        <v>1.2608695652173909</v>
      </c>
      <c r="L133">
        <v>3.833333333333333</v>
      </c>
      <c r="M133">
        <v>39701</v>
      </c>
      <c r="N133">
        <v>2</v>
      </c>
      <c r="O133">
        <v>3</v>
      </c>
      <c r="P133">
        <v>58</v>
      </c>
      <c r="Q133">
        <v>46</v>
      </c>
      <c r="R133">
        <v>12</v>
      </c>
      <c r="S133">
        <v>25</v>
      </c>
      <c r="T133">
        <v>1080</v>
      </c>
      <c r="U133">
        <v>275</v>
      </c>
      <c r="V133">
        <v>247268</v>
      </c>
      <c r="W133">
        <v>70</v>
      </c>
    </row>
    <row r="134" spans="1:23" x14ac:dyDescent="0.2">
      <c r="A134" t="s">
        <v>292</v>
      </c>
      <c r="B134" t="s">
        <v>157</v>
      </c>
      <c r="C134">
        <v>48.541386842727661</v>
      </c>
      <c r="D134">
        <v>2264</v>
      </c>
      <c r="E134">
        <v>2545</v>
      </c>
      <c r="F134">
        <v>13</v>
      </c>
      <c r="G134">
        <v>12</v>
      </c>
      <c r="H134">
        <v>5375.391304347826</v>
      </c>
      <c r="I134">
        <v>1.128571428571429</v>
      </c>
      <c r="J134">
        <v>1.7173913043478259</v>
      </c>
      <c r="K134">
        <v>1.5217391304347829</v>
      </c>
      <c r="L134">
        <v>3.833333333333333</v>
      </c>
      <c r="M134">
        <v>39701</v>
      </c>
      <c r="N134">
        <v>2</v>
      </c>
      <c r="O134">
        <v>5</v>
      </c>
      <c r="P134">
        <v>70</v>
      </c>
      <c r="Q134">
        <v>46</v>
      </c>
      <c r="R134">
        <v>12</v>
      </c>
      <c r="S134">
        <v>25</v>
      </c>
      <c r="T134">
        <v>1071</v>
      </c>
      <c r="U134">
        <v>272</v>
      </c>
      <c r="V134">
        <v>247268</v>
      </c>
      <c r="W134">
        <v>79</v>
      </c>
    </row>
    <row r="135" spans="1:23" x14ac:dyDescent="0.2">
      <c r="A135" t="s">
        <v>293</v>
      </c>
      <c r="B135" t="s">
        <v>157</v>
      </c>
      <c r="C135">
        <v>24.80923414230347</v>
      </c>
      <c r="D135">
        <v>297</v>
      </c>
      <c r="E135">
        <v>419</v>
      </c>
      <c r="F135">
        <v>8</v>
      </c>
      <c r="G135">
        <v>7</v>
      </c>
      <c r="H135">
        <v>1.468085106382979</v>
      </c>
      <c r="I135">
        <v>1.132352941176471</v>
      </c>
      <c r="J135">
        <v>1.638297872340426</v>
      </c>
      <c r="K135">
        <v>1.446808510638298</v>
      </c>
      <c r="L135">
        <v>6.7142857142857144</v>
      </c>
      <c r="M135">
        <v>2</v>
      </c>
      <c r="N135">
        <v>2</v>
      </c>
      <c r="O135">
        <v>2</v>
      </c>
      <c r="P135">
        <v>68</v>
      </c>
      <c r="Q135">
        <v>47</v>
      </c>
      <c r="R135">
        <v>7</v>
      </c>
      <c r="S135">
        <v>15</v>
      </c>
      <c r="T135">
        <v>628</v>
      </c>
      <c r="U135">
        <v>92</v>
      </c>
      <c r="V135">
        <v>69</v>
      </c>
      <c r="W135">
        <v>77</v>
      </c>
    </row>
    <row r="136" spans="1:23" x14ac:dyDescent="0.2">
      <c r="A136" t="s">
        <v>294</v>
      </c>
      <c r="B136" t="s">
        <v>158</v>
      </c>
      <c r="C136" t="s">
        <v>159</v>
      </c>
      <c r="D136" t="s">
        <v>159</v>
      </c>
      <c r="E136" t="s">
        <v>159</v>
      </c>
      <c r="F136" t="s">
        <v>159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  <c r="M136" t="s">
        <v>159</v>
      </c>
      <c r="N136" t="s">
        <v>159</v>
      </c>
      <c r="O136" t="s">
        <v>159</v>
      </c>
      <c r="P136" t="s">
        <v>159</v>
      </c>
      <c r="Q136" t="s">
        <v>159</v>
      </c>
      <c r="R136" t="s">
        <v>159</v>
      </c>
      <c r="S136" t="s">
        <v>159</v>
      </c>
      <c r="T136" t="s">
        <v>159</v>
      </c>
      <c r="U136" t="s">
        <v>159</v>
      </c>
      <c r="V136" t="s">
        <v>159</v>
      </c>
      <c r="W136" t="s">
        <v>159</v>
      </c>
    </row>
    <row r="137" spans="1:23" x14ac:dyDescent="0.2">
      <c r="A137" t="s">
        <v>295</v>
      </c>
      <c r="B137" t="s">
        <v>157</v>
      </c>
      <c r="C137">
        <v>4.605231761932373</v>
      </c>
      <c r="D137">
        <v>351</v>
      </c>
      <c r="E137">
        <v>643</v>
      </c>
      <c r="F137">
        <v>7</v>
      </c>
      <c r="G137">
        <v>7</v>
      </c>
      <c r="H137">
        <v>7.0363636363636362</v>
      </c>
      <c r="I137">
        <v>1.6710526315789469</v>
      </c>
      <c r="J137">
        <v>2.3090909090909091</v>
      </c>
      <c r="K137">
        <v>1.3818181818181821</v>
      </c>
      <c r="L137">
        <v>7.8571428571428568</v>
      </c>
      <c r="M137">
        <v>36</v>
      </c>
      <c r="N137">
        <v>4</v>
      </c>
      <c r="O137">
        <v>3</v>
      </c>
      <c r="P137">
        <v>76</v>
      </c>
      <c r="Q137">
        <v>55</v>
      </c>
      <c r="R137">
        <v>7</v>
      </c>
      <c r="S137">
        <v>14</v>
      </c>
      <c r="T137">
        <v>643</v>
      </c>
      <c r="U137">
        <v>74</v>
      </c>
      <c r="V137">
        <v>387</v>
      </c>
      <c r="W137">
        <v>127</v>
      </c>
    </row>
    <row r="138" spans="1:23" x14ac:dyDescent="0.2">
      <c r="A138" t="s">
        <v>296</v>
      </c>
      <c r="B138" t="s">
        <v>157</v>
      </c>
      <c r="C138">
        <v>315.9161684513092</v>
      </c>
      <c r="D138">
        <v>362</v>
      </c>
      <c r="E138">
        <v>2711</v>
      </c>
      <c r="F138">
        <v>6</v>
      </c>
      <c r="G138">
        <v>5</v>
      </c>
      <c r="H138">
        <v>2.034782608695652</v>
      </c>
      <c r="I138">
        <v>1.6647398843930641</v>
      </c>
      <c r="J138">
        <v>2.5043478260869572</v>
      </c>
      <c r="K138">
        <v>1.5043478260869561</v>
      </c>
      <c r="L138">
        <v>23</v>
      </c>
      <c r="M138">
        <v>6</v>
      </c>
      <c r="N138">
        <v>3</v>
      </c>
      <c r="O138">
        <v>2</v>
      </c>
      <c r="P138">
        <v>173</v>
      </c>
      <c r="Q138">
        <v>115</v>
      </c>
      <c r="R138">
        <v>5</v>
      </c>
      <c r="S138">
        <v>16</v>
      </c>
      <c r="T138">
        <v>1552</v>
      </c>
      <c r="U138">
        <v>65</v>
      </c>
      <c r="V138">
        <v>234</v>
      </c>
      <c r="W138">
        <v>288</v>
      </c>
    </row>
    <row r="139" spans="1:23" x14ac:dyDescent="0.2">
      <c r="A139" t="s">
        <v>297</v>
      </c>
      <c r="B139" t="s">
        <v>157</v>
      </c>
      <c r="C139">
        <v>23.308073997497559</v>
      </c>
      <c r="D139">
        <v>362</v>
      </c>
      <c r="E139">
        <v>388</v>
      </c>
      <c r="F139">
        <v>10</v>
      </c>
      <c r="G139">
        <v>9</v>
      </c>
      <c r="H139">
        <v>9.6393442622950793</v>
      </c>
      <c r="I139">
        <v>1.008403361344538</v>
      </c>
      <c r="J139">
        <v>1.9672131147540981</v>
      </c>
      <c r="K139">
        <v>1.9508196721311479</v>
      </c>
      <c r="L139">
        <v>6.7777777777777777</v>
      </c>
      <c r="M139">
        <v>100</v>
      </c>
      <c r="N139">
        <v>2</v>
      </c>
      <c r="O139">
        <v>4</v>
      </c>
      <c r="P139">
        <v>119</v>
      </c>
      <c r="Q139">
        <v>61</v>
      </c>
      <c r="R139">
        <v>9</v>
      </c>
      <c r="S139">
        <v>19</v>
      </c>
      <c r="T139">
        <v>1039</v>
      </c>
      <c r="U139">
        <v>147</v>
      </c>
      <c r="V139">
        <v>588</v>
      </c>
      <c r="W139">
        <v>120</v>
      </c>
    </row>
    <row r="140" spans="1:23" x14ac:dyDescent="0.2">
      <c r="A140" t="s">
        <v>298</v>
      </c>
      <c r="B140" t="s">
        <v>157</v>
      </c>
      <c r="C140">
        <v>6.5925536155700684</v>
      </c>
      <c r="D140">
        <v>7612</v>
      </c>
      <c r="E140">
        <v>12859</v>
      </c>
      <c r="F140">
        <v>17</v>
      </c>
      <c r="G140">
        <v>16</v>
      </c>
      <c r="H140">
        <v>0</v>
      </c>
      <c r="I140">
        <v>1.032520325203252</v>
      </c>
      <c r="J140">
        <v>1.984375</v>
      </c>
      <c r="K140">
        <v>1.921875</v>
      </c>
      <c r="L140">
        <v>4</v>
      </c>
      <c r="M140">
        <v>0</v>
      </c>
      <c r="N140">
        <v>2</v>
      </c>
      <c r="O140">
        <v>2</v>
      </c>
      <c r="P140">
        <v>123</v>
      </c>
      <c r="Q140">
        <v>64</v>
      </c>
      <c r="R140">
        <v>16</v>
      </c>
      <c r="S140">
        <v>21</v>
      </c>
      <c r="T140">
        <v>1217</v>
      </c>
      <c r="U140">
        <v>304</v>
      </c>
      <c r="V140">
        <v>0</v>
      </c>
      <c r="W140">
        <v>127</v>
      </c>
    </row>
    <row r="141" spans="1:23" x14ac:dyDescent="0.2">
      <c r="A141" t="s">
        <v>299</v>
      </c>
      <c r="B141" t="s">
        <v>157</v>
      </c>
      <c r="C141">
        <v>119.2515683174133</v>
      </c>
      <c r="D141">
        <v>2780</v>
      </c>
      <c r="E141">
        <v>7693</v>
      </c>
      <c r="F141">
        <v>13</v>
      </c>
      <c r="G141">
        <v>12</v>
      </c>
      <c r="H141">
        <v>5549.304347826087</v>
      </c>
      <c r="I141">
        <v>1.2068965517241379</v>
      </c>
      <c r="J141">
        <v>1.5217391304347829</v>
      </c>
      <c r="K141">
        <v>1.2608695652173909</v>
      </c>
      <c r="L141">
        <v>3.833333333333333</v>
      </c>
      <c r="M141">
        <v>39701</v>
      </c>
      <c r="N141">
        <v>2</v>
      </c>
      <c r="O141">
        <v>3</v>
      </c>
      <c r="P141">
        <v>58</v>
      </c>
      <c r="Q141">
        <v>46</v>
      </c>
      <c r="R141">
        <v>12</v>
      </c>
      <c r="S141">
        <v>25</v>
      </c>
      <c r="T141">
        <v>1080</v>
      </c>
      <c r="U141">
        <v>275</v>
      </c>
      <c r="V141">
        <v>255268</v>
      </c>
      <c r="W141">
        <v>70</v>
      </c>
    </row>
    <row r="142" spans="1:23" x14ac:dyDescent="0.2">
      <c r="A142" t="s">
        <v>300</v>
      </c>
      <c r="B142" t="s">
        <v>157</v>
      </c>
      <c r="C142">
        <v>3.2969353199005131</v>
      </c>
      <c r="D142">
        <v>161</v>
      </c>
      <c r="E142">
        <v>135</v>
      </c>
      <c r="F142">
        <v>7</v>
      </c>
      <c r="G142">
        <v>6</v>
      </c>
      <c r="H142">
        <v>2.3125</v>
      </c>
      <c r="I142">
        <v>1.2016129032258061</v>
      </c>
      <c r="J142">
        <v>1.8625</v>
      </c>
      <c r="K142">
        <v>1.55</v>
      </c>
      <c r="L142">
        <v>13.33333333333333</v>
      </c>
      <c r="M142">
        <v>12</v>
      </c>
      <c r="N142">
        <v>2</v>
      </c>
      <c r="O142">
        <v>2</v>
      </c>
      <c r="P142">
        <v>124</v>
      </c>
      <c r="Q142">
        <v>80</v>
      </c>
      <c r="R142">
        <v>6</v>
      </c>
      <c r="S142">
        <v>8</v>
      </c>
      <c r="T142">
        <v>491</v>
      </c>
      <c r="U142">
        <v>32</v>
      </c>
      <c r="V142">
        <v>185</v>
      </c>
      <c r="W142">
        <v>149</v>
      </c>
    </row>
    <row r="143" spans="1:23" x14ac:dyDescent="0.2">
      <c r="A143" t="s">
        <v>301</v>
      </c>
      <c r="B143" t="s">
        <v>157</v>
      </c>
      <c r="C143">
        <v>50.195065259933472</v>
      </c>
      <c r="D143">
        <v>787</v>
      </c>
      <c r="E143">
        <v>1008</v>
      </c>
      <c r="F143">
        <v>9</v>
      </c>
      <c r="G143">
        <v>8</v>
      </c>
      <c r="H143">
        <v>0.67441860465116277</v>
      </c>
      <c r="I143">
        <v>1</v>
      </c>
      <c r="J143">
        <v>1.930232558139535</v>
      </c>
      <c r="K143">
        <v>1.930232558139535</v>
      </c>
      <c r="L143">
        <v>5.375</v>
      </c>
      <c r="M143">
        <v>7</v>
      </c>
      <c r="N143">
        <v>1</v>
      </c>
      <c r="O143">
        <v>3</v>
      </c>
      <c r="P143">
        <v>83</v>
      </c>
      <c r="Q143">
        <v>43</v>
      </c>
      <c r="R143">
        <v>8</v>
      </c>
      <c r="S143">
        <v>9</v>
      </c>
      <c r="T143">
        <v>304</v>
      </c>
      <c r="U143">
        <v>51</v>
      </c>
      <c r="V143">
        <v>29</v>
      </c>
      <c r="W143">
        <v>83</v>
      </c>
    </row>
    <row r="144" spans="1:23" x14ac:dyDescent="0.2">
      <c r="A144" t="s">
        <v>302</v>
      </c>
      <c r="B144" t="s">
        <v>157</v>
      </c>
      <c r="C144">
        <v>23.030729532241821</v>
      </c>
      <c r="D144">
        <v>283</v>
      </c>
      <c r="E144">
        <v>385</v>
      </c>
      <c r="F144">
        <v>8</v>
      </c>
      <c r="G144">
        <v>7</v>
      </c>
      <c r="H144">
        <v>1.5106382978723401</v>
      </c>
      <c r="I144">
        <v>1.130434782608696</v>
      </c>
      <c r="J144">
        <v>1.6595744680851059</v>
      </c>
      <c r="K144">
        <v>1.468085106382979</v>
      </c>
      <c r="L144">
        <v>6.7142857142857144</v>
      </c>
      <c r="M144">
        <v>2</v>
      </c>
      <c r="N144">
        <v>2</v>
      </c>
      <c r="O144">
        <v>2</v>
      </c>
      <c r="P144">
        <v>69</v>
      </c>
      <c r="Q144">
        <v>47</v>
      </c>
      <c r="R144">
        <v>7</v>
      </c>
      <c r="S144">
        <v>15</v>
      </c>
      <c r="T144">
        <v>627</v>
      </c>
      <c r="U144">
        <v>92</v>
      </c>
      <c r="V144">
        <v>71</v>
      </c>
      <c r="W144">
        <v>78</v>
      </c>
    </row>
    <row r="145" spans="1:23" x14ac:dyDescent="0.2">
      <c r="A145" t="s">
        <v>303</v>
      </c>
      <c r="B145" t="s">
        <v>157</v>
      </c>
      <c r="C145">
        <v>5.2949838638305664</v>
      </c>
      <c r="D145">
        <v>246</v>
      </c>
      <c r="E145">
        <v>314</v>
      </c>
      <c r="F145">
        <v>7</v>
      </c>
      <c r="G145">
        <v>6</v>
      </c>
      <c r="H145">
        <v>5071.3048780487807</v>
      </c>
      <c r="I145">
        <v>1</v>
      </c>
      <c r="J145">
        <v>1.4268292682926831</v>
      </c>
      <c r="K145">
        <v>1.4268292682926831</v>
      </c>
      <c r="L145">
        <v>13.66666666666667</v>
      </c>
      <c r="M145">
        <v>57031</v>
      </c>
      <c r="N145">
        <v>1</v>
      </c>
      <c r="O145">
        <v>2</v>
      </c>
      <c r="P145">
        <v>117</v>
      </c>
      <c r="Q145">
        <v>82</v>
      </c>
      <c r="R145">
        <v>6</v>
      </c>
      <c r="S145">
        <v>7</v>
      </c>
      <c r="T145">
        <v>457</v>
      </c>
      <c r="U145">
        <v>30</v>
      </c>
      <c r="V145">
        <v>415847</v>
      </c>
      <c r="W145">
        <v>117</v>
      </c>
    </row>
    <row r="146" spans="1:23" x14ac:dyDescent="0.2">
      <c r="A146" t="s">
        <v>304</v>
      </c>
      <c r="B146" t="s">
        <v>157</v>
      </c>
      <c r="C146">
        <v>26.464194774627689</v>
      </c>
      <c r="D146">
        <v>615</v>
      </c>
      <c r="E146">
        <v>960</v>
      </c>
      <c r="F146">
        <v>9</v>
      </c>
      <c r="G146">
        <v>8</v>
      </c>
      <c r="H146">
        <v>0.65116279069767447</v>
      </c>
      <c r="I146">
        <v>1</v>
      </c>
      <c r="J146">
        <v>1.441860465116279</v>
      </c>
      <c r="K146">
        <v>1.441860465116279</v>
      </c>
      <c r="L146">
        <v>5.375</v>
      </c>
      <c r="M146">
        <v>7</v>
      </c>
      <c r="N146">
        <v>1</v>
      </c>
      <c r="O146">
        <v>2</v>
      </c>
      <c r="P146">
        <v>62</v>
      </c>
      <c r="Q146">
        <v>43</v>
      </c>
      <c r="R146">
        <v>8</v>
      </c>
      <c r="S146">
        <v>9</v>
      </c>
      <c r="T146">
        <v>325</v>
      </c>
      <c r="U146">
        <v>58</v>
      </c>
      <c r="V146">
        <v>28</v>
      </c>
      <c r="W146">
        <v>62</v>
      </c>
    </row>
    <row r="147" spans="1:23" x14ac:dyDescent="0.2">
      <c r="A147" t="s">
        <v>305</v>
      </c>
      <c r="B147" t="s">
        <v>157</v>
      </c>
      <c r="C147">
        <v>189.7891411781311</v>
      </c>
      <c r="D147">
        <v>739</v>
      </c>
      <c r="E147">
        <v>1330</v>
      </c>
      <c r="F147">
        <v>9</v>
      </c>
      <c r="G147">
        <v>8</v>
      </c>
      <c r="H147">
        <v>1.55</v>
      </c>
      <c r="I147">
        <v>1.1208791208791209</v>
      </c>
      <c r="J147">
        <v>1.7</v>
      </c>
      <c r="K147">
        <v>1.5166666666666671</v>
      </c>
      <c r="L147">
        <v>7.5</v>
      </c>
      <c r="M147">
        <v>2</v>
      </c>
      <c r="N147">
        <v>2</v>
      </c>
      <c r="O147">
        <v>2</v>
      </c>
      <c r="P147">
        <v>91</v>
      </c>
      <c r="Q147">
        <v>60</v>
      </c>
      <c r="R147">
        <v>8</v>
      </c>
      <c r="S147">
        <v>17</v>
      </c>
      <c r="T147">
        <v>918</v>
      </c>
      <c r="U147">
        <v>121</v>
      </c>
      <c r="V147">
        <v>93</v>
      </c>
      <c r="W147">
        <v>102</v>
      </c>
    </row>
    <row r="148" spans="1:23" x14ac:dyDescent="0.2">
      <c r="A148" t="s">
        <v>306</v>
      </c>
      <c r="B148" t="s">
        <v>157</v>
      </c>
      <c r="C148">
        <v>351.48190236091608</v>
      </c>
      <c r="D148">
        <v>693</v>
      </c>
      <c r="E148">
        <v>1640</v>
      </c>
      <c r="F148">
        <v>9</v>
      </c>
      <c r="G148">
        <v>8</v>
      </c>
      <c r="H148">
        <v>1.55</v>
      </c>
      <c r="I148">
        <v>1.1208791208791209</v>
      </c>
      <c r="J148">
        <v>1.7</v>
      </c>
      <c r="K148">
        <v>1.5166666666666671</v>
      </c>
      <c r="L148">
        <v>7.5</v>
      </c>
      <c r="M148">
        <v>2</v>
      </c>
      <c r="N148">
        <v>2</v>
      </c>
      <c r="O148">
        <v>2</v>
      </c>
      <c r="P148">
        <v>91</v>
      </c>
      <c r="Q148">
        <v>60</v>
      </c>
      <c r="R148">
        <v>8</v>
      </c>
      <c r="S148">
        <v>17</v>
      </c>
      <c r="T148">
        <v>918</v>
      </c>
      <c r="U148">
        <v>121</v>
      </c>
      <c r="V148">
        <v>93</v>
      </c>
      <c r="W148">
        <v>102</v>
      </c>
    </row>
    <row r="149" spans="1:23" x14ac:dyDescent="0.2">
      <c r="A149" t="s">
        <v>307</v>
      </c>
      <c r="B149" t="s">
        <v>158</v>
      </c>
      <c r="C149" t="s">
        <v>159</v>
      </c>
      <c r="D149" t="s">
        <v>159</v>
      </c>
      <c r="E149" t="s">
        <v>159</v>
      </c>
      <c r="F149" t="s">
        <v>159</v>
      </c>
      <c r="G149" t="s">
        <v>159</v>
      </c>
      <c r="H149" t="s">
        <v>159</v>
      </c>
      <c r="I149" t="s">
        <v>159</v>
      </c>
      <c r="J149" t="s">
        <v>159</v>
      </c>
      <c r="K149" t="s">
        <v>159</v>
      </c>
      <c r="L149" t="s">
        <v>159</v>
      </c>
      <c r="M149" t="s">
        <v>159</v>
      </c>
      <c r="N149" t="s">
        <v>159</v>
      </c>
      <c r="O149" t="s">
        <v>159</v>
      </c>
      <c r="P149" t="s">
        <v>159</v>
      </c>
      <c r="Q149" t="s">
        <v>159</v>
      </c>
      <c r="R149" t="s">
        <v>159</v>
      </c>
      <c r="S149" t="s">
        <v>159</v>
      </c>
      <c r="T149" t="s">
        <v>159</v>
      </c>
      <c r="U149" t="s">
        <v>159</v>
      </c>
      <c r="V149" t="s">
        <v>159</v>
      </c>
      <c r="W149" t="s">
        <v>159</v>
      </c>
    </row>
    <row r="150" spans="1:23" x14ac:dyDescent="0.2">
      <c r="A150" t="s">
        <v>308</v>
      </c>
      <c r="B150" t="s">
        <v>157</v>
      </c>
      <c r="C150">
        <v>3408.890212059021</v>
      </c>
      <c r="D150">
        <v>3011</v>
      </c>
      <c r="E150">
        <v>5075</v>
      </c>
      <c r="F150">
        <v>10</v>
      </c>
      <c r="G150">
        <v>9</v>
      </c>
      <c r="H150">
        <v>58996447813524.344</v>
      </c>
      <c r="I150">
        <v>1.028169014084507</v>
      </c>
      <c r="J150">
        <v>2.1262135922330101</v>
      </c>
      <c r="K150">
        <v>2.0679611650485441</v>
      </c>
      <c r="L150">
        <v>11.444444444444439</v>
      </c>
      <c r="M150">
        <v>1212982689600000</v>
      </c>
      <c r="N150">
        <v>2</v>
      </c>
      <c r="O150">
        <v>4</v>
      </c>
      <c r="P150">
        <v>213</v>
      </c>
      <c r="Q150">
        <v>103</v>
      </c>
      <c r="R150">
        <v>9</v>
      </c>
      <c r="S150">
        <v>19</v>
      </c>
      <c r="T150">
        <v>1738</v>
      </c>
      <c r="U150">
        <v>144</v>
      </c>
      <c r="V150">
        <v>6076634124793007</v>
      </c>
      <c r="W150">
        <v>219</v>
      </c>
    </row>
    <row r="151" spans="1:23" x14ac:dyDescent="0.2">
      <c r="A151" t="s">
        <v>309</v>
      </c>
      <c r="B151" t="s">
        <v>157</v>
      </c>
      <c r="C151">
        <v>174.1506507396698</v>
      </c>
      <c r="D151">
        <v>926</v>
      </c>
      <c r="E151">
        <v>16240</v>
      </c>
      <c r="F151">
        <v>7</v>
      </c>
      <c r="G151">
        <v>6</v>
      </c>
      <c r="H151">
        <v>3.125E-2</v>
      </c>
      <c r="I151">
        <v>1</v>
      </c>
      <c r="J151">
        <v>2.75</v>
      </c>
      <c r="K151">
        <v>2.75</v>
      </c>
      <c r="L151">
        <v>5.333333333333333</v>
      </c>
      <c r="M151">
        <v>1</v>
      </c>
      <c r="N151">
        <v>1</v>
      </c>
      <c r="O151">
        <v>5</v>
      </c>
      <c r="P151">
        <v>88</v>
      </c>
      <c r="Q151">
        <v>32</v>
      </c>
      <c r="R151">
        <v>6</v>
      </c>
      <c r="S151">
        <v>7</v>
      </c>
      <c r="T151">
        <v>136</v>
      </c>
      <c r="U151">
        <v>22</v>
      </c>
      <c r="V151">
        <v>1</v>
      </c>
      <c r="W151">
        <v>88</v>
      </c>
    </row>
    <row r="152" spans="1:23" x14ac:dyDescent="0.2">
      <c r="A152" t="s">
        <v>310</v>
      </c>
      <c r="B152" t="s">
        <v>157</v>
      </c>
      <c r="C152">
        <v>69.53284764289856</v>
      </c>
      <c r="D152">
        <v>565</v>
      </c>
      <c r="E152">
        <v>616</v>
      </c>
      <c r="F152">
        <v>9</v>
      </c>
      <c r="G152">
        <v>8</v>
      </c>
      <c r="H152">
        <v>0.67441860465116277</v>
      </c>
      <c r="I152">
        <v>1</v>
      </c>
      <c r="J152">
        <v>1.930232558139535</v>
      </c>
      <c r="K152">
        <v>1.930232558139535</v>
      </c>
      <c r="L152">
        <v>5.375</v>
      </c>
      <c r="M152">
        <v>7</v>
      </c>
      <c r="N152">
        <v>1</v>
      </c>
      <c r="O152">
        <v>3</v>
      </c>
      <c r="P152">
        <v>83</v>
      </c>
      <c r="Q152">
        <v>43</v>
      </c>
      <c r="R152">
        <v>8</v>
      </c>
      <c r="S152">
        <v>9</v>
      </c>
      <c r="T152">
        <v>304</v>
      </c>
      <c r="U152">
        <v>51</v>
      </c>
      <c r="V152">
        <v>29</v>
      </c>
      <c r="W152">
        <v>83</v>
      </c>
    </row>
    <row r="153" spans="1:23" x14ac:dyDescent="0.2">
      <c r="A153" t="s">
        <v>311</v>
      </c>
      <c r="B153" t="s">
        <v>157</v>
      </c>
      <c r="C153">
        <v>5.9213895797729492</v>
      </c>
      <c r="D153">
        <v>304</v>
      </c>
      <c r="E153">
        <v>273</v>
      </c>
      <c r="F153">
        <v>8</v>
      </c>
      <c r="G153">
        <v>7</v>
      </c>
      <c r="H153">
        <v>0.6470588235294118</v>
      </c>
      <c r="I153">
        <v>1</v>
      </c>
      <c r="J153">
        <v>1.8235294117647061</v>
      </c>
      <c r="K153">
        <v>1.8235294117647061</v>
      </c>
      <c r="L153">
        <v>4.8571428571428568</v>
      </c>
      <c r="M153">
        <v>6</v>
      </c>
      <c r="N153">
        <v>1</v>
      </c>
      <c r="O153">
        <v>3</v>
      </c>
      <c r="P153">
        <v>62</v>
      </c>
      <c r="Q153">
        <v>34</v>
      </c>
      <c r="R153">
        <v>7</v>
      </c>
      <c r="S153">
        <v>8</v>
      </c>
      <c r="T153">
        <v>210</v>
      </c>
      <c r="U153">
        <v>38</v>
      </c>
      <c r="V153">
        <v>22</v>
      </c>
      <c r="W153">
        <v>62</v>
      </c>
    </row>
    <row r="154" spans="1:23" x14ac:dyDescent="0.2">
      <c r="A154" t="s">
        <v>312</v>
      </c>
      <c r="B154" t="s">
        <v>158</v>
      </c>
      <c r="C154" t="s">
        <v>159</v>
      </c>
      <c r="D154" t="s">
        <v>159</v>
      </c>
      <c r="E154" t="s">
        <v>159</v>
      </c>
      <c r="F154" t="s">
        <v>159</v>
      </c>
      <c r="G154" t="s">
        <v>159</v>
      </c>
      <c r="H154" t="s">
        <v>159</v>
      </c>
      <c r="I154" t="s">
        <v>159</v>
      </c>
      <c r="J154" t="s">
        <v>159</v>
      </c>
      <c r="K154" t="s">
        <v>159</v>
      </c>
      <c r="L154" t="s">
        <v>159</v>
      </c>
      <c r="M154" t="s">
        <v>159</v>
      </c>
      <c r="N154" t="s">
        <v>159</v>
      </c>
      <c r="O154" t="s">
        <v>159</v>
      </c>
      <c r="P154" t="s">
        <v>159</v>
      </c>
      <c r="Q154" t="s">
        <v>159</v>
      </c>
      <c r="R154" t="s">
        <v>159</v>
      </c>
      <c r="S154" t="s">
        <v>159</v>
      </c>
      <c r="T154" t="s">
        <v>159</v>
      </c>
      <c r="U154" t="s">
        <v>159</v>
      </c>
      <c r="V154" t="s">
        <v>159</v>
      </c>
      <c r="W154" t="s">
        <v>159</v>
      </c>
    </row>
    <row r="155" spans="1:23" x14ac:dyDescent="0.2">
      <c r="A155" t="s">
        <v>313</v>
      </c>
      <c r="B155" t="s">
        <v>157</v>
      </c>
      <c r="C155">
        <v>21.367417335510261</v>
      </c>
      <c r="D155">
        <v>558</v>
      </c>
      <c r="E155">
        <v>342</v>
      </c>
      <c r="F155">
        <v>11</v>
      </c>
      <c r="G155">
        <v>10</v>
      </c>
      <c r="H155">
        <v>152</v>
      </c>
      <c r="I155">
        <v>1</v>
      </c>
      <c r="J155">
        <v>1.5249999999999999</v>
      </c>
      <c r="K155">
        <v>1.5249999999999999</v>
      </c>
      <c r="L155">
        <v>4</v>
      </c>
      <c r="M155">
        <v>855</v>
      </c>
      <c r="N155">
        <v>1</v>
      </c>
      <c r="O155">
        <v>2</v>
      </c>
      <c r="P155">
        <v>61</v>
      </c>
      <c r="Q155">
        <v>40</v>
      </c>
      <c r="R155">
        <v>10</v>
      </c>
      <c r="S155">
        <v>11</v>
      </c>
      <c r="T155">
        <v>379</v>
      </c>
      <c r="U155">
        <v>92</v>
      </c>
      <c r="V155">
        <v>6080</v>
      </c>
      <c r="W155">
        <v>61</v>
      </c>
    </row>
    <row r="156" spans="1:23" x14ac:dyDescent="0.2">
      <c r="A156" t="s">
        <v>314</v>
      </c>
      <c r="B156" t="s">
        <v>158</v>
      </c>
      <c r="C156" t="s">
        <v>159</v>
      </c>
      <c r="D156" t="s">
        <v>159</v>
      </c>
      <c r="E156" t="s">
        <v>159</v>
      </c>
      <c r="F156" t="s">
        <v>159</v>
      </c>
      <c r="G156" t="s">
        <v>159</v>
      </c>
      <c r="H156" t="s">
        <v>159</v>
      </c>
      <c r="I156" t="s">
        <v>159</v>
      </c>
      <c r="J156" t="s">
        <v>159</v>
      </c>
      <c r="K156" t="s">
        <v>159</v>
      </c>
      <c r="L156" t="s">
        <v>159</v>
      </c>
      <c r="M156" t="s">
        <v>159</v>
      </c>
      <c r="N156" t="s">
        <v>159</v>
      </c>
      <c r="O156" t="s">
        <v>159</v>
      </c>
      <c r="P156" t="s">
        <v>159</v>
      </c>
      <c r="Q156" t="s">
        <v>159</v>
      </c>
      <c r="R156" t="s">
        <v>159</v>
      </c>
      <c r="S156" t="s">
        <v>159</v>
      </c>
      <c r="T156" t="s">
        <v>159</v>
      </c>
      <c r="U156" t="s">
        <v>159</v>
      </c>
      <c r="V156" t="s">
        <v>159</v>
      </c>
      <c r="W156" t="s">
        <v>159</v>
      </c>
    </row>
    <row r="157" spans="1:23" x14ac:dyDescent="0.2">
      <c r="A157" t="s">
        <v>315</v>
      </c>
      <c r="B157" t="s">
        <v>157</v>
      </c>
      <c r="C157">
        <v>96.022410869598403</v>
      </c>
      <c r="D157">
        <v>2110</v>
      </c>
      <c r="E157">
        <v>5342</v>
      </c>
      <c r="F157">
        <v>10</v>
      </c>
      <c r="G157">
        <v>9</v>
      </c>
      <c r="H157">
        <v>0.67924528301886788</v>
      </c>
      <c r="I157">
        <v>1</v>
      </c>
      <c r="J157">
        <v>1.4905660377358489</v>
      </c>
      <c r="K157">
        <v>1.4905660377358489</v>
      </c>
      <c r="L157">
        <v>5.8888888888888893</v>
      </c>
      <c r="M157">
        <v>8</v>
      </c>
      <c r="N157">
        <v>1</v>
      </c>
      <c r="O157">
        <v>2</v>
      </c>
      <c r="P157">
        <v>79</v>
      </c>
      <c r="Q157">
        <v>53</v>
      </c>
      <c r="R157">
        <v>9</v>
      </c>
      <c r="S157">
        <v>10</v>
      </c>
      <c r="T157">
        <v>451</v>
      </c>
      <c r="U157">
        <v>74</v>
      </c>
      <c r="V157">
        <v>36</v>
      </c>
      <c r="W157">
        <v>79</v>
      </c>
    </row>
    <row r="158" spans="1:23" x14ac:dyDescent="0.2">
      <c r="A158" t="s">
        <v>316</v>
      </c>
      <c r="B158" t="s">
        <v>157</v>
      </c>
      <c r="C158">
        <v>3.639447927474976</v>
      </c>
      <c r="D158">
        <v>161</v>
      </c>
      <c r="E158">
        <v>134</v>
      </c>
      <c r="F158">
        <v>7</v>
      </c>
      <c r="G158">
        <v>6</v>
      </c>
      <c r="H158">
        <v>2.2749999999999999</v>
      </c>
      <c r="I158">
        <v>1.2032520325203251</v>
      </c>
      <c r="J158">
        <v>1.85</v>
      </c>
      <c r="K158">
        <v>1.5375000000000001</v>
      </c>
      <c r="L158">
        <v>13.33333333333333</v>
      </c>
      <c r="M158">
        <v>12</v>
      </c>
      <c r="N158">
        <v>2</v>
      </c>
      <c r="O158">
        <v>2</v>
      </c>
      <c r="P158">
        <v>123</v>
      </c>
      <c r="Q158">
        <v>80</v>
      </c>
      <c r="R158">
        <v>6</v>
      </c>
      <c r="S158">
        <v>8</v>
      </c>
      <c r="T158">
        <v>492</v>
      </c>
      <c r="U158">
        <v>32</v>
      </c>
      <c r="V158">
        <v>182</v>
      </c>
      <c r="W158">
        <v>148</v>
      </c>
    </row>
    <row r="159" spans="1:23" x14ac:dyDescent="0.2">
      <c r="A159" t="s">
        <v>317</v>
      </c>
      <c r="B159" t="s">
        <v>158</v>
      </c>
      <c r="C159" t="s">
        <v>159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  <c r="O159" t="s">
        <v>159</v>
      </c>
      <c r="P159" t="s">
        <v>159</v>
      </c>
      <c r="Q159" t="s">
        <v>159</v>
      </c>
      <c r="R159" t="s">
        <v>159</v>
      </c>
      <c r="S159" t="s">
        <v>159</v>
      </c>
      <c r="T159" t="s">
        <v>159</v>
      </c>
      <c r="U159" t="s">
        <v>159</v>
      </c>
      <c r="V159" t="s">
        <v>159</v>
      </c>
      <c r="W159" t="s">
        <v>159</v>
      </c>
    </row>
    <row r="160" spans="1:23" x14ac:dyDescent="0.2">
      <c r="A160" t="s">
        <v>318</v>
      </c>
      <c r="B160" t="s">
        <v>158</v>
      </c>
      <c r="C160" t="s">
        <v>159</v>
      </c>
      <c r="D160" t="s">
        <v>159</v>
      </c>
      <c r="E160" t="s">
        <v>159</v>
      </c>
      <c r="F160" t="s">
        <v>159</v>
      </c>
      <c r="G160" t="s">
        <v>159</v>
      </c>
      <c r="H160" t="s">
        <v>159</v>
      </c>
      <c r="I160" t="s">
        <v>159</v>
      </c>
      <c r="J160" t="s">
        <v>159</v>
      </c>
      <c r="K160" t="s">
        <v>159</v>
      </c>
      <c r="L160" t="s">
        <v>159</v>
      </c>
      <c r="M160" t="s">
        <v>159</v>
      </c>
      <c r="N160" t="s">
        <v>159</v>
      </c>
      <c r="O160" t="s">
        <v>159</v>
      </c>
      <c r="P160" t="s">
        <v>159</v>
      </c>
      <c r="Q160" t="s">
        <v>159</v>
      </c>
      <c r="R160" t="s">
        <v>159</v>
      </c>
      <c r="S160" t="s">
        <v>159</v>
      </c>
      <c r="T160" t="s">
        <v>159</v>
      </c>
      <c r="U160" t="s">
        <v>159</v>
      </c>
      <c r="V160" t="s">
        <v>159</v>
      </c>
      <c r="W160" t="s">
        <v>159</v>
      </c>
    </row>
    <row r="161" spans="1:23" x14ac:dyDescent="0.2">
      <c r="A161" t="s">
        <v>319</v>
      </c>
      <c r="B161" t="s">
        <v>157</v>
      </c>
      <c r="C161">
        <v>21.810455083847049</v>
      </c>
      <c r="D161">
        <v>577</v>
      </c>
      <c r="E161">
        <v>360</v>
      </c>
      <c r="F161">
        <v>11</v>
      </c>
      <c r="G161">
        <v>10</v>
      </c>
      <c r="H161">
        <v>151.77500000000001</v>
      </c>
      <c r="I161">
        <v>1</v>
      </c>
      <c r="J161">
        <v>1.5249999999999999</v>
      </c>
      <c r="K161">
        <v>1.5249999999999999</v>
      </c>
      <c r="L161">
        <v>4</v>
      </c>
      <c r="M161">
        <v>855</v>
      </c>
      <c r="N161">
        <v>1</v>
      </c>
      <c r="O161">
        <v>2</v>
      </c>
      <c r="P161">
        <v>61</v>
      </c>
      <c r="Q161">
        <v>40</v>
      </c>
      <c r="R161">
        <v>10</v>
      </c>
      <c r="S161">
        <v>11</v>
      </c>
      <c r="T161">
        <v>379</v>
      </c>
      <c r="U161">
        <v>92</v>
      </c>
      <c r="V161">
        <v>6071</v>
      </c>
      <c r="W161">
        <v>61</v>
      </c>
    </row>
    <row r="162" spans="1:23" x14ac:dyDescent="0.2">
      <c r="A162" t="s">
        <v>320</v>
      </c>
      <c r="B162" t="s">
        <v>157</v>
      </c>
      <c r="C162">
        <v>734.51027894020081</v>
      </c>
      <c r="D162">
        <v>667</v>
      </c>
      <c r="E162">
        <v>2148</v>
      </c>
      <c r="F162">
        <v>9</v>
      </c>
      <c r="G162">
        <v>8</v>
      </c>
      <c r="H162">
        <v>128.2352941176471</v>
      </c>
      <c r="I162">
        <v>1.0543478260869561</v>
      </c>
      <c r="J162">
        <v>1.9019607843137261</v>
      </c>
      <c r="K162">
        <v>1.803921568627451</v>
      </c>
      <c r="L162">
        <v>6.375</v>
      </c>
      <c r="M162">
        <v>1056</v>
      </c>
      <c r="N162">
        <v>2</v>
      </c>
      <c r="O162">
        <v>3</v>
      </c>
      <c r="P162">
        <v>92</v>
      </c>
      <c r="Q162">
        <v>51</v>
      </c>
      <c r="R162">
        <v>8</v>
      </c>
      <c r="S162">
        <v>10</v>
      </c>
      <c r="T162">
        <v>413</v>
      </c>
      <c r="U162">
        <v>63</v>
      </c>
      <c r="V162">
        <v>6540</v>
      </c>
      <c r="W162">
        <v>97</v>
      </c>
    </row>
    <row r="163" spans="1:23" x14ac:dyDescent="0.2">
      <c r="A163" t="s">
        <v>321</v>
      </c>
      <c r="B163" t="s">
        <v>158</v>
      </c>
      <c r="C163" t="s">
        <v>159</v>
      </c>
      <c r="D163" t="s">
        <v>159</v>
      </c>
      <c r="E163" t="s">
        <v>159</v>
      </c>
      <c r="F163" t="s">
        <v>159</v>
      </c>
      <c r="G163" t="s">
        <v>159</v>
      </c>
      <c r="H163" t="s">
        <v>159</v>
      </c>
      <c r="I163" t="s">
        <v>159</v>
      </c>
      <c r="J163" t="s">
        <v>159</v>
      </c>
      <c r="K163" t="s">
        <v>159</v>
      </c>
      <c r="L163" t="s">
        <v>159</v>
      </c>
      <c r="M163" t="s">
        <v>159</v>
      </c>
      <c r="N163" t="s">
        <v>159</v>
      </c>
      <c r="O163" t="s">
        <v>159</v>
      </c>
      <c r="P163" t="s">
        <v>159</v>
      </c>
      <c r="Q163" t="s">
        <v>159</v>
      </c>
      <c r="R163" t="s">
        <v>159</v>
      </c>
      <c r="S163" t="s">
        <v>159</v>
      </c>
      <c r="T163" t="s">
        <v>159</v>
      </c>
      <c r="U163" t="s">
        <v>159</v>
      </c>
      <c r="V163" t="s">
        <v>159</v>
      </c>
      <c r="W163" t="s">
        <v>159</v>
      </c>
    </row>
    <row r="164" spans="1:23" x14ac:dyDescent="0.2">
      <c r="A164" t="s">
        <v>322</v>
      </c>
      <c r="B164" t="s">
        <v>157</v>
      </c>
      <c r="C164">
        <v>20.479436874389648</v>
      </c>
      <c r="D164">
        <v>604</v>
      </c>
      <c r="E164">
        <v>413</v>
      </c>
      <c r="F164">
        <v>11</v>
      </c>
      <c r="G164">
        <v>10</v>
      </c>
      <c r="H164">
        <v>152.47499999999999</v>
      </c>
      <c r="I164">
        <v>1</v>
      </c>
      <c r="J164">
        <v>1.5249999999999999</v>
      </c>
      <c r="K164">
        <v>1.5249999999999999</v>
      </c>
      <c r="L164">
        <v>4</v>
      </c>
      <c r="M164">
        <v>855</v>
      </c>
      <c r="N164">
        <v>1</v>
      </c>
      <c r="O164">
        <v>2</v>
      </c>
      <c r="P164">
        <v>61</v>
      </c>
      <c r="Q164">
        <v>40</v>
      </c>
      <c r="R164">
        <v>10</v>
      </c>
      <c r="S164">
        <v>11</v>
      </c>
      <c r="T164">
        <v>379</v>
      </c>
      <c r="U164">
        <v>92</v>
      </c>
      <c r="V164">
        <v>6099</v>
      </c>
      <c r="W164">
        <v>61</v>
      </c>
    </row>
    <row r="165" spans="1:23" x14ac:dyDescent="0.2">
      <c r="A165" t="s">
        <v>323</v>
      </c>
      <c r="B165" t="s">
        <v>157</v>
      </c>
      <c r="C165">
        <v>58.249192953109741</v>
      </c>
      <c r="D165">
        <v>814</v>
      </c>
      <c r="E165">
        <v>1118</v>
      </c>
      <c r="F165">
        <v>9</v>
      </c>
      <c r="G165">
        <v>8</v>
      </c>
      <c r="H165">
        <v>0.67441860465116277</v>
      </c>
      <c r="I165">
        <v>1</v>
      </c>
      <c r="J165">
        <v>1.930232558139535</v>
      </c>
      <c r="K165">
        <v>1.930232558139535</v>
      </c>
      <c r="L165">
        <v>5.375</v>
      </c>
      <c r="M165">
        <v>7</v>
      </c>
      <c r="N165">
        <v>1</v>
      </c>
      <c r="O165">
        <v>3</v>
      </c>
      <c r="P165">
        <v>83</v>
      </c>
      <c r="Q165">
        <v>43</v>
      </c>
      <c r="R165">
        <v>8</v>
      </c>
      <c r="S165">
        <v>9</v>
      </c>
      <c r="T165">
        <v>304</v>
      </c>
      <c r="U165">
        <v>51</v>
      </c>
      <c r="V165">
        <v>29</v>
      </c>
      <c r="W165">
        <v>83</v>
      </c>
    </row>
    <row r="166" spans="1:23" x14ac:dyDescent="0.2">
      <c r="A166" t="s">
        <v>324</v>
      </c>
      <c r="B166" t="s">
        <v>157</v>
      </c>
      <c r="C166">
        <v>4.0164961814880371</v>
      </c>
      <c r="D166">
        <v>273</v>
      </c>
      <c r="E166">
        <v>509</v>
      </c>
      <c r="F166">
        <v>11</v>
      </c>
      <c r="G166">
        <v>9</v>
      </c>
      <c r="H166">
        <v>2.7162162162162158</v>
      </c>
      <c r="I166">
        <v>1</v>
      </c>
      <c r="J166">
        <v>1.459459459459459</v>
      </c>
      <c r="K166">
        <v>1.459459459459459</v>
      </c>
      <c r="L166">
        <v>8.2222222222222214</v>
      </c>
      <c r="M166">
        <v>4</v>
      </c>
      <c r="N166">
        <v>1</v>
      </c>
      <c r="O166">
        <v>2</v>
      </c>
      <c r="P166">
        <v>108</v>
      </c>
      <c r="Q166">
        <v>74</v>
      </c>
      <c r="R166">
        <v>9</v>
      </c>
      <c r="S166">
        <v>11</v>
      </c>
      <c r="T166">
        <v>706</v>
      </c>
      <c r="U166">
        <v>83</v>
      </c>
      <c r="V166">
        <v>201</v>
      </c>
      <c r="W166">
        <v>108</v>
      </c>
    </row>
    <row r="167" spans="1:23" x14ac:dyDescent="0.2">
      <c r="A167" t="s">
        <v>325</v>
      </c>
      <c r="B167" t="s">
        <v>158</v>
      </c>
      <c r="C167" t="s">
        <v>159</v>
      </c>
      <c r="D167" t="s">
        <v>159</v>
      </c>
      <c r="E167" t="s">
        <v>159</v>
      </c>
      <c r="F167" t="s">
        <v>159</v>
      </c>
      <c r="G167" t="s">
        <v>159</v>
      </c>
      <c r="H167" t="s">
        <v>159</v>
      </c>
      <c r="I167" t="s">
        <v>159</v>
      </c>
      <c r="J167" t="s">
        <v>159</v>
      </c>
      <c r="K167" t="s">
        <v>159</v>
      </c>
      <c r="L167" t="s">
        <v>159</v>
      </c>
      <c r="M167" t="s">
        <v>159</v>
      </c>
      <c r="N167" t="s">
        <v>159</v>
      </c>
      <c r="O167" t="s">
        <v>159</v>
      </c>
      <c r="P167" t="s">
        <v>159</v>
      </c>
      <c r="Q167" t="s">
        <v>159</v>
      </c>
      <c r="R167" t="s">
        <v>159</v>
      </c>
      <c r="S167" t="s">
        <v>159</v>
      </c>
      <c r="T167" t="s">
        <v>159</v>
      </c>
      <c r="U167" t="s">
        <v>159</v>
      </c>
      <c r="V167" t="s">
        <v>159</v>
      </c>
      <c r="W167" t="s">
        <v>159</v>
      </c>
    </row>
    <row r="168" spans="1:23" x14ac:dyDescent="0.2">
      <c r="A168" t="s">
        <v>326</v>
      </c>
      <c r="B168" t="s">
        <v>157</v>
      </c>
      <c r="C168">
        <v>26.186796903610229</v>
      </c>
      <c r="D168">
        <v>558</v>
      </c>
      <c r="E168">
        <v>327</v>
      </c>
      <c r="F168">
        <v>11</v>
      </c>
      <c r="G168">
        <v>10</v>
      </c>
      <c r="H168">
        <v>151.67500000000001</v>
      </c>
      <c r="I168">
        <v>1</v>
      </c>
      <c r="J168">
        <v>1.5249999999999999</v>
      </c>
      <c r="K168">
        <v>1.5249999999999999</v>
      </c>
      <c r="L168">
        <v>4</v>
      </c>
      <c r="M168">
        <v>855</v>
      </c>
      <c r="N168">
        <v>1</v>
      </c>
      <c r="O168">
        <v>2</v>
      </c>
      <c r="P168">
        <v>61</v>
      </c>
      <c r="Q168">
        <v>40</v>
      </c>
      <c r="R168">
        <v>10</v>
      </c>
      <c r="S168">
        <v>11</v>
      </c>
      <c r="T168">
        <v>379</v>
      </c>
      <c r="U168">
        <v>92</v>
      </c>
      <c r="V168">
        <v>6067</v>
      </c>
      <c r="W168">
        <v>61</v>
      </c>
    </row>
    <row r="169" spans="1:23" x14ac:dyDescent="0.2">
      <c r="A169" t="s">
        <v>327</v>
      </c>
      <c r="B169" t="s">
        <v>157</v>
      </c>
      <c r="C169">
        <v>208.34194755554199</v>
      </c>
      <c r="D169">
        <v>618</v>
      </c>
      <c r="E169">
        <v>1248</v>
      </c>
      <c r="F169">
        <v>9</v>
      </c>
      <c r="G169">
        <v>8</v>
      </c>
      <c r="H169">
        <v>1.55</v>
      </c>
      <c r="I169">
        <v>1.1208791208791209</v>
      </c>
      <c r="J169">
        <v>1.7</v>
      </c>
      <c r="K169">
        <v>1.5166666666666671</v>
      </c>
      <c r="L169">
        <v>7.5</v>
      </c>
      <c r="M169">
        <v>2</v>
      </c>
      <c r="N169">
        <v>2</v>
      </c>
      <c r="O169">
        <v>2</v>
      </c>
      <c r="P169">
        <v>91</v>
      </c>
      <c r="Q169">
        <v>60</v>
      </c>
      <c r="R169">
        <v>8</v>
      </c>
      <c r="S169">
        <v>17</v>
      </c>
      <c r="T169">
        <v>918</v>
      </c>
      <c r="U169">
        <v>121</v>
      </c>
      <c r="V169">
        <v>93</v>
      </c>
      <c r="W169">
        <v>102</v>
      </c>
    </row>
    <row r="170" spans="1:23" x14ac:dyDescent="0.2">
      <c r="A170" t="s">
        <v>328</v>
      </c>
      <c r="B170" t="s">
        <v>157</v>
      </c>
      <c r="C170">
        <v>7.6173365116119394</v>
      </c>
      <c r="D170">
        <v>10779</v>
      </c>
      <c r="E170">
        <v>20054</v>
      </c>
      <c r="F170">
        <v>17</v>
      </c>
      <c r="G170">
        <v>16</v>
      </c>
      <c r="H170">
        <v>0</v>
      </c>
      <c r="I170">
        <v>1.032520325203252</v>
      </c>
      <c r="J170">
        <v>1.984375</v>
      </c>
      <c r="K170">
        <v>1.921875</v>
      </c>
      <c r="L170">
        <v>4</v>
      </c>
      <c r="M170">
        <v>0</v>
      </c>
      <c r="N170">
        <v>2</v>
      </c>
      <c r="O170">
        <v>2</v>
      </c>
      <c r="P170">
        <v>123</v>
      </c>
      <c r="Q170">
        <v>64</v>
      </c>
      <c r="R170">
        <v>16</v>
      </c>
      <c r="S170">
        <v>21</v>
      </c>
      <c r="T170">
        <v>1217</v>
      </c>
      <c r="U170">
        <v>304</v>
      </c>
      <c r="V170">
        <v>0</v>
      </c>
      <c r="W170">
        <v>127</v>
      </c>
    </row>
    <row r="171" spans="1:23" x14ac:dyDescent="0.2">
      <c r="A171" t="s">
        <v>329</v>
      </c>
      <c r="B171" t="s">
        <v>157</v>
      </c>
      <c r="C171">
        <v>1508.697387695312</v>
      </c>
      <c r="D171">
        <v>2696</v>
      </c>
      <c r="E171">
        <v>4159</v>
      </c>
      <c r="F171">
        <v>10</v>
      </c>
      <c r="G171">
        <v>9</v>
      </c>
      <c r="H171">
        <v>0.69811320754716977</v>
      </c>
      <c r="I171">
        <v>1</v>
      </c>
      <c r="J171">
        <v>2.0188679245283021</v>
      </c>
      <c r="K171">
        <v>2.0188679245283021</v>
      </c>
      <c r="L171">
        <v>5.8888888888888893</v>
      </c>
      <c r="M171">
        <v>8</v>
      </c>
      <c r="N171">
        <v>1</v>
      </c>
      <c r="O171">
        <v>3</v>
      </c>
      <c r="P171">
        <v>107</v>
      </c>
      <c r="Q171">
        <v>53</v>
      </c>
      <c r="R171">
        <v>9</v>
      </c>
      <c r="S171">
        <v>10</v>
      </c>
      <c r="T171">
        <v>423</v>
      </c>
      <c r="U171">
        <v>66</v>
      </c>
      <c r="V171">
        <v>37</v>
      </c>
      <c r="W171">
        <v>107</v>
      </c>
    </row>
    <row r="172" spans="1:23" x14ac:dyDescent="0.2">
      <c r="A172" t="s">
        <v>330</v>
      </c>
      <c r="B172" t="s">
        <v>157</v>
      </c>
      <c r="C172">
        <v>6.821098804473877</v>
      </c>
      <c r="D172">
        <v>8563</v>
      </c>
      <c r="E172">
        <v>12536</v>
      </c>
      <c r="F172">
        <v>17</v>
      </c>
      <c r="G172">
        <v>16</v>
      </c>
      <c r="H172">
        <v>0</v>
      </c>
      <c r="I172">
        <v>1.0327868852459019</v>
      </c>
      <c r="J172">
        <v>1.96875</v>
      </c>
      <c r="K172">
        <v>1.90625</v>
      </c>
      <c r="L172">
        <v>4</v>
      </c>
      <c r="M172">
        <v>0</v>
      </c>
      <c r="N172">
        <v>2</v>
      </c>
      <c r="O172">
        <v>2</v>
      </c>
      <c r="P172">
        <v>122</v>
      </c>
      <c r="Q172">
        <v>64</v>
      </c>
      <c r="R172">
        <v>16</v>
      </c>
      <c r="S172">
        <v>21</v>
      </c>
      <c r="T172">
        <v>1218</v>
      </c>
      <c r="U172">
        <v>304</v>
      </c>
      <c r="V172">
        <v>0</v>
      </c>
      <c r="W172">
        <v>126</v>
      </c>
    </row>
    <row r="173" spans="1:23" x14ac:dyDescent="0.2">
      <c r="A173" t="s">
        <v>331</v>
      </c>
      <c r="B173" t="s">
        <v>158</v>
      </c>
      <c r="C173" t="s">
        <v>159</v>
      </c>
      <c r="D173" t="s">
        <v>159</v>
      </c>
      <c r="E173" t="s">
        <v>159</v>
      </c>
      <c r="F173" t="s">
        <v>159</v>
      </c>
      <c r="G173" t="s">
        <v>159</v>
      </c>
      <c r="H173" t="s">
        <v>159</v>
      </c>
      <c r="I173" t="s">
        <v>159</v>
      </c>
      <c r="J173" t="s">
        <v>159</v>
      </c>
      <c r="K173" t="s">
        <v>159</v>
      </c>
      <c r="L173" t="s">
        <v>159</v>
      </c>
      <c r="M173" t="s">
        <v>159</v>
      </c>
      <c r="N173" t="s">
        <v>159</v>
      </c>
      <c r="O173" t="s">
        <v>159</v>
      </c>
      <c r="P173" t="s">
        <v>159</v>
      </c>
      <c r="Q173" t="s">
        <v>159</v>
      </c>
      <c r="R173" t="s">
        <v>159</v>
      </c>
      <c r="S173" t="s">
        <v>159</v>
      </c>
      <c r="T173" t="s">
        <v>159</v>
      </c>
      <c r="U173" t="s">
        <v>159</v>
      </c>
      <c r="V173" t="s">
        <v>159</v>
      </c>
      <c r="W173" t="s">
        <v>159</v>
      </c>
    </row>
    <row r="174" spans="1:23" x14ac:dyDescent="0.2">
      <c r="A174" t="s">
        <v>332</v>
      </c>
      <c r="B174" t="s">
        <v>157</v>
      </c>
      <c r="C174">
        <v>11.83944845199585</v>
      </c>
      <c r="D174">
        <v>11769</v>
      </c>
      <c r="E174">
        <v>22858</v>
      </c>
      <c r="F174">
        <v>17</v>
      </c>
      <c r="G174">
        <v>16</v>
      </c>
      <c r="H174">
        <v>0</v>
      </c>
      <c r="I174">
        <v>1.032520325203252</v>
      </c>
      <c r="J174">
        <v>1.984375</v>
      </c>
      <c r="K174">
        <v>1.921875</v>
      </c>
      <c r="L174">
        <v>4</v>
      </c>
      <c r="M174">
        <v>0</v>
      </c>
      <c r="N174">
        <v>2</v>
      </c>
      <c r="O174">
        <v>2</v>
      </c>
      <c r="P174">
        <v>123</v>
      </c>
      <c r="Q174">
        <v>64</v>
      </c>
      <c r="R174">
        <v>16</v>
      </c>
      <c r="S174">
        <v>21</v>
      </c>
      <c r="T174">
        <v>1217</v>
      </c>
      <c r="U174">
        <v>304</v>
      </c>
      <c r="V174">
        <v>0</v>
      </c>
      <c r="W174">
        <v>127</v>
      </c>
    </row>
    <row r="175" spans="1:23" x14ac:dyDescent="0.2">
      <c r="A175" t="s">
        <v>333</v>
      </c>
      <c r="B175" t="s">
        <v>157</v>
      </c>
      <c r="C175">
        <v>3.1972801685333252</v>
      </c>
      <c r="D175">
        <v>72</v>
      </c>
      <c r="E175">
        <v>379</v>
      </c>
      <c r="F175">
        <v>6</v>
      </c>
      <c r="G175">
        <v>4</v>
      </c>
      <c r="H175">
        <v>1.470588235294118</v>
      </c>
      <c r="I175">
        <v>1.5</v>
      </c>
      <c r="J175">
        <v>2.117647058823529</v>
      </c>
      <c r="K175">
        <v>1.411764705882353</v>
      </c>
      <c r="L175">
        <v>4.25</v>
      </c>
      <c r="M175">
        <v>6</v>
      </c>
      <c r="N175">
        <v>3</v>
      </c>
      <c r="O175">
        <v>3</v>
      </c>
      <c r="P175">
        <v>24</v>
      </c>
      <c r="Q175">
        <v>17</v>
      </c>
      <c r="R175">
        <v>4</v>
      </c>
      <c r="S175">
        <v>12</v>
      </c>
      <c r="T175">
        <v>168</v>
      </c>
      <c r="U175">
        <v>35</v>
      </c>
      <c r="V175">
        <v>25</v>
      </c>
      <c r="W175">
        <v>36</v>
      </c>
    </row>
    <row r="176" spans="1:23" x14ac:dyDescent="0.2">
      <c r="A176" t="s">
        <v>334</v>
      </c>
      <c r="B176" t="s">
        <v>157</v>
      </c>
      <c r="C176">
        <v>8.4421162605285645</v>
      </c>
      <c r="D176">
        <v>275</v>
      </c>
      <c r="E176">
        <v>229</v>
      </c>
      <c r="F176">
        <v>8</v>
      </c>
      <c r="G176">
        <v>7</v>
      </c>
      <c r="H176">
        <v>0.6470588235294118</v>
      </c>
      <c r="I176">
        <v>1</v>
      </c>
      <c r="J176">
        <v>1.8235294117647061</v>
      </c>
      <c r="K176">
        <v>1.8235294117647061</v>
      </c>
      <c r="L176">
        <v>4.8571428571428568</v>
      </c>
      <c r="M176">
        <v>6</v>
      </c>
      <c r="N176">
        <v>1</v>
      </c>
      <c r="O176">
        <v>3</v>
      </c>
      <c r="P176">
        <v>62</v>
      </c>
      <c r="Q176">
        <v>34</v>
      </c>
      <c r="R176">
        <v>7</v>
      </c>
      <c r="S176">
        <v>8</v>
      </c>
      <c r="T176">
        <v>210</v>
      </c>
      <c r="U176">
        <v>38</v>
      </c>
      <c r="V176">
        <v>22</v>
      </c>
      <c r="W176">
        <v>62</v>
      </c>
    </row>
    <row r="177" spans="1:23" x14ac:dyDescent="0.2">
      <c r="A177" t="s">
        <v>335</v>
      </c>
      <c r="B177" t="s">
        <v>157</v>
      </c>
      <c r="C177">
        <v>355.00610423088068</v>
      </c>
      <c r="D177">
        <v>658</v>
      </c>
      <c r="E177">
        <v>4829</v>
      </c>
      <c r="F177">
        <v>7</v>
      </c>
      <c r="G177">
        <v>6</v>
      </c>
      <c r="H177">
        <v>6.25E-2</v>
      </c>
      <c r="I177">
        <v>0.98630136986301364</v>
      </c>
      <c r="J177">
        <v>2.25</v>
      </c>
      <c r="K177">
        <v>2.28125</v>
      </c>
      <c r="L177">
        <v>5.333333333333333</v>
      </c>
      <c r="M177">
        <v>1</v>
      </c>
      <c r="N177">
        <v>1</v>
      </c>
      <c r="O177">
        <v>5</v>
      </c>
      <c r="P177">
        <v>73</v>
      </c>
      <c r="Q177">
        <v>32</v>
      </c>
      <c r="R177">
        <v>6</v>
      </c>
      <c r="S177">
        <v>6</v>
      </c>
      <c r="T177">
        <v>120</v>
      </c>
      <c r="U177">
        <v>18</v>
      </c>
      <c r="V177">
        <v>2</v>
      </c>
      <c r="W177">
        <v>72</v>
      </c>
    </row>
    <row r="178" spans="1:23" x14ac:dyDescent="0.2">
      <c r="A178" t="s">
        <v>336</v>
      </c>
      <c r="B178" t="s">
        <v>157</v>
      </c>
      <c r="C178">
        <v>23.737839937210079</v>
      </c>
      <c r="D178">
        <v>331</v>
      </c>
      <c r="E178">
        <v>513</v>
      </c>
      <c r="F178">
        <v>9</v>
      </c>
      <c r="G178">
        <v>8</v>
      </c>
      <c r="H178">
        <v>123.92156862745099</v>
      </c>
      <c r="I178">
        <v>1.055555555555556</v>
      </c>
      <c r="J178">
        <v>1.862745098039216</v>
      </c>
      <c r="K178">
        <v>1.7647058823529409</v>
      </c>
      <c r="L178">
        <v>6.375</v>
      </c>
      <c r="M178">
        <v>1056</v>
      </c>
      <c r="N178">
        <v>2</v>
      </c>
      <c r="O178">
        <v>3</v>
      </c>
      <c r="P178">
        <v>90</v>
      </c>
      <c r="Q178">
        <v>51</v>
      </c>
      <c r="R178">
        <v>8</v>
      </c>
      <c r="S178">
        <v>10</v>
      </c>
      <c r="T178">
        <v>415</v>
      </c>
      <c r="U178">
        <v>62</v>
      </c>
      <c r="V178">
        <v>6320</v>
      </c>
      <c r="W178">
        <v>95</v>
      </c>
    </row>
    <row r="179" spans="1:23" x14ac:dyDescent="0.2">
      <c r="A179" t="s">
        <v>337</v>
      </c>
      <c r="B179" t="s">
        <v>157</v>
      </c>
      <c r="C179">
        <v>8.577601432800293</v>
      </c>
      <c r="D179">
        <v>474</v>
      </c>
      <c r="E179">
        <v>692</v>
      </c>
      <c r="F179">
        <v>8</v>
      </c>
      <c r="G179">
        <v>7</v>
      </c>
      <c r="H179">
        <v>0.6470588235294118</v>
      </c>
      <c r="I179">
        <v>1</v>
      </c>
      <c r="J179">
        <v>1.6764705882352939</v>
      </c>
      <c r="K179">
        <v>1.6764705882352939</v>
      </c>
      <c r="L179">
        <v>4.8571428571428568</v>
      </c>
      <c r="M179">
        <v>6</v>
      </c>
      <c r="N179">
        <v>1</v>
      </c>
      <c r="O179">
        <v>3</v>
      </c>
      <c r="P179">
        <v>57</v>
      </c>
      <c r="Q179">
        <v>34</v>
      </c>
      <c r="R179">
        <v>7</v>
      </c>
      <c r="S179">
        <v>8</v>
      </c>
      <c r="T179">
        <v>215</v>
      </c>
      <c r="U179">
        <v>39</v>
      </c>
      <c r="V179">
        <v>22</v>
      </c>
      <c r="W179">
        <v>57</v>
      </c>
    </row>
    <row r="180" spans="1:23" x14ac:dyDescent="0.2">
      <c r="A180" t="s">
        <v>338</v>
      </c>
      <c r="B180" t="s">
        <v>157</v>
      </c>
      <c r="C180">
        <v>4.1520352363586426</v>
      </c>
      <c r="D180">
        <v>253</v>
      </c>
      <c r="E180">
        <v>461</v>
      </c>
      <c r="F180">
        <v>11</v>
      </c>
      <c r="G180">
        <v>9</v>
      </c>
      <c r="H180">
        <v>2.7162162162162158</v>
      </c>
      <c r="I180">
        <v>1</v>
      </c>
      <c r="J180">
        <v>1.459459459459459</v>
      </c>
      <c r="K180">
        <v>1.459459459459459</v>
      </c>
      <c r="L180">
        <v>8.2222222222222214</v>
      </c>
      <c r="M180">
        <v>4</v>
      </c>
      <c r="N180">
        <v>1</v>
      </c>
      <c r="O180">
        <v>2</v>
      </c>
      <c r="P180">
        <v>108</v>
      </c>
      <c r="Q180">
        <v>74</v>
      </c>
      <c r="R180">
        <v>9</v>
      </c>
      <c r="S180">
        <v>11</v>
      </c>
      <c r="T180">
        <v>706</v>
      </c>
      <c r="U180">
        <v>83</v>
      </c>
      <c r="V180">
        <v>201</v>
      </c>
      <c r="W180">
        <v>108</v>
      </c>
    </row>
    <row r="181" spans="1:23" x14ac:dyDescent="0.2">
      <c r="A181" t="s">
        <v>339</v>
      </c>
      <c r="B181" t="s">
        <v>157</v>
      </c>
      <c r="C181">
        <v>3.841650247573853</v>
      </c>
      <c r="D181">
        <v>200</v>
      </c>
      <c r="E181">
        <v>149</v>
      </c>
      <c r="F181">
        <v>7</v>
      </c>
      <c r="G181">
        <v>6</v>
      </c>
      <c r="H181">
        <v>5758.292682926829</v>
      </c>
      <c r="I181">
        <v>1</v>
      </c>
      <c r="J181">
        <v>1.4512195121951219</v>
      </c>
      <c r="K181">
        <v>1.4512195121951219</v>
      </c>
      <c r="L181">
        <v>13.66666666666667</v>
      </c>
      <c r="M181">
        <v>57031</v>
      </c>
      <c r="N181">
        <v>1</v>
      </c>
      <c r="O181">
        <v>2</v>
      </c>
      <c r="P181">
        <v>119</v>
      </c>
      <c r="Q181">
        <v>82</v>
      </c>
      <c r="R181">
        <v>6</v>
      </c>
      <c r="S181">
        <v>7</v>
      </c>
      <c r="T181">
        <v>455</v>
      </c>
      <c r="U181">
        <v>30</v>
      </c>
      <c r="V181">
        <v>472180</v>
      </c>
      <c r="W181">
        <v>119</v>
      </c>
    </row>
    <row r="182" spans="1:23" x14ac:dyDescent="0.2">
      <c r="A182" t="s">
        <v>340</v>
      </c>
      <c r="B182" t="s">
        <v>157</v>
      </c>
      <c r="C182">
        <v>1325.8718707561491</v>
      </c>
      <c r="D182">
        <v>2685</v>
      </c>
      <c r="E182">
        <v>4196</v>
      </c>
      <c r="F182">
        <v>10</v>
      </c>
      <c r="G182">
        <v>9</v>
      </c>
      <c r="H182">
        <v>0.69811320754716977</v>
      </c>
      <c r="I182">
        <v>1</v>
      </c>
      <c r="J182">
        <v>2.0188679245283021</v>
      </c>
      <c r="K182">
        <v>2.0188679245283021</v>
      </c>
      <c r="L182">
        <v>5.8888888888888893</v>
      </c>
      <c r="M182">
        <v>8</v>
      </c>
      <c r="N182">
        <v>1</v>
      </c>
      <c r="O182">
        <v>3</v>
      </c>
      <c r="P182">
        <v>107</v>
      </c>
      <c r="Q182">
        <v>53</v>
      </c>
      <c r="R182">
        <v>9</v>
      </c>
      <c r="S182">
        <v>10</v>
      </c>
      <c r="T182">
        <v>423</v>
      </c>
      <c r="U182">
        <v>66</v>
      </c>
      <c r="V182">
        <v>37</v>
      </c>
      <c r="W182">
        <v>107</v>
      </c>
    </row>
    <row r="183" spans="1:23" x14ac:dyDescent="0.2">
      <c r="A183" t="s">
        <v>341</v>
      </c>
      <c r="B183" t="s">
        <v>157</v>
      </c>
      <c r="C183">
        <v>17.19223070144653</v>
      </c>
      <c r="D183">
        <v>501</v>
      </c>
      <c r="E183">
        <v>369</v>
      </c>
      <c r="F183">
        <v>11</v>
      </c>
      <c r="G183">
        <v>10</v>
      </c>
      <c r="H183">
        <v>67.45</v>
      </c>
      <c r="I183">
        <v>1</v>
      </c>
      <c r="J183">
        <v>1.5249999999999999</v>
      </c>
      <c r="K183">
        <v>1.5249999999999999</v>
      </c>
      <c r="L183">
        <v>4</v>
      </c>
      <c r="M183">
        <v>595</v>
      </c>
      <c r="N183">
        <v>1</v>
      </c>
      <c r="O183">
        <v>2</v>
      </c>
      <c r="P183">
        <v>61</v>
      </c>
      <c r="Q183">
        <v>40</v>
      </c>
      <c r="R183">
        <v>10</v>
      </c>
      <c r="S183">
        <v>11</v>
      </c>
      <c r="T183">
        <v>379</v>
      </c>
      <c r="U183">
        <v>92</v>
      </c>
      <c r="V183">
        <v>2698</v>
      </c>
      <c r="W183">
        <v>61</v>
      </c>
    </row>
    <row r="184" spans="1:23" x14ac:dyDescent="0.2">
      <c r="A184" t="s">
        <v>342</v>
      </c>
      <c r="B184" t="s">
        <v>157</v>
      </c>
      <c r="C184">
        <v>134.41454982757571</v>
      </c>
      <c r="D184">
        <v>979</v>
      </c>
      <c r="E184">
        <v>1330</v>
      </c>
      <c r="F184">
        <v>9</v>
      </c>
      <c r="G184">
        <v>8</v>
      </c>
      <c r="H184">
        <v>0.67441860465116277</v>
      </c>
      <c r="I184">
        <v>1</v>
      </c>
      <c r="J184">
        <v>1.930232558139535</v>
      </c>
      <c r="K184">
        <v>1.930232558139535</v>
      </c>
      <c r="L184">
        <v>5.375</v>
      </c>
      <c r="M184">
        <v>7</v>
      </c>
      <c r="N184">
        <v>1</v>
      </c>
      <c r="O184">
        <v>3</v>
      </c>
      <c r="P184">
        <v>83</v>
      </c>
      <c r="Q184">
        <v>43</v>
      </c>
      <c r="R184">
        <v>8</v>
      </c>
      <c r="S184">
        <v>9</v>
      </c>
      <c r="T184">
        <v>304</v>
      </c>
      <c r="U184">
        <v>51</v>
      </c>
      <c r="V184">
        <v>29</v>
      </c>
      <c r="W184">
        <v>83</v>
      </c>
    </row>
    <row r="185" spans="1:23" x14ac:dyDescent="0.2">
      <c r="A185" t="s">
        <v>343</v>
      </c>
      <c r="B185" t="s">
        <v>158</v>
      </c>
      <c r="C185" t="s">
        <v>159</v>
      </c>
      <c r="D185" t="s">
        <v>159</v>
      </c>
      <c r="E185" t="s">
        <v>159</v>
      </c>
      <c r="F185" t="s">
        <v>159</v>
      </c>
      <c r="G185" t="s">
        <v>159</v>
      </c>
      <c r="H185" t="s">
        <v>159</v>
      </c>
      <c r="I185" t="s">
        <v>159</v>
      </c>
      <c r="J185" t="s">
        <v>159</v>
      </c>
      <c r="K185" t="s">
        <v>159</v>
      </c>
      <c r="L185" t="s">
        <v>159</v>
      </c>
      <c r="M185" t="s">
        <v>159</v>
      </c>
      <c r="N185" t="s">
        <v>159</v>
      </c>
      <c r="O185" t="s">
        <v>159</v>
      </c>
      <c r="P185" t="s">
        <v>159</v>
      </c>
      <c r="Q185" t="s">
        <v>159</v>
      </c>
      <c r="R185" t="s">
        <v>159</v>
      </c>
      <c r="S185" t="s">
        <v>159</v>
      </c>
      <c r="T185" t="s">
        <v>159</v>
      </c>
      <c r="U185" t="s">
        <v>159</v>
      </c>
      <c r="V185" t="s">
        <v>159</v>
      </c>
      <c r="W185" t="s">
        <v>159</v>
      </c>
    </row>
    <row r="186" spans="1:23" x14ac:dyDescent="0.2">
      <c r="A186" t="s">
        <v>344</v>
      </c>
      <c r="B186" t="s">
        <v>158</v>
      </c>
      <c r="C186" t="s">
        <v>159</v>
      </c>
      <c r="D186" t="s">
        <v>159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  <c r="J186" t="s">
        <v>159</v>
      </c>
      <c r="K186" t="s">
        <v>159</v>
      </c>
      <c r="L186" t="s">
        <v>159</v>
      </c>
      <c r="M186" t="s">
        <v>159</v>
      </c>
      <c r="N186" t="s">
        <v>159</v>
      </c>
      <c r="O186" t="s">
        <v>159</v>
      </c>
      <c r="P186" t="s">
        <v>159</v>
      </c>
      <c r="Q186" t="s">
        <v>159</v>
      </c>
      <c r="R186" t="s">
        <v>159</v>
      </c>
      <c r="S186" t="s">
        <v>159</v>
      </c>
      <c r="T186" t="s">
        <v>159</v>
      </c>
      <c r="U186" t="s">
        <v>159</v>
      </c>
      <c r="V186" t="s">
        <v>159</v>
      </c>
      <c r="W186" t="s">
        <v>159</v>
      </c>
    </row>
    <row r="187" spans="1:23" x14ac:dyDescent="0.2">
      <c r="A187" t="s">
        <v>345</v>
      </c>
      <c r="B187" t="s">
        <v>158</v>
      </c>
      <c r="C187" t="s">
        <v>159</v>
      </c>
      <c r="D187" t="s">
        <v>159</v>
      </c>
      <c r="E187" t="s">
        <v>159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  <c r="P187" t="s">
        <v>159</v>
      </c>
      <c r="Q187" t="s">
        <v>159</v>
      </c>
      <c r="R187" t="s">
        <v>159</v>
      </c>
      <c r="S187" t="s">
        <v>159</v>
      </c>
      <c r="T187" t="s">
        <v>159</v>
      </c>
      <c r="U187" t="s">
        <v>159</v>
      </c>
      <c r="V187" t="s">
        <v>159</v>
      </c>
      <c r="W187" t="s">
        <v>159</v>
      </c>
    </row>
    <row r="188" spans="1:23" x14ac:dyDescent="0.2">
      <c r="A188" t="s">
        <v>346</v>
      </c>
      <c r="B188" t="s">
        <v>157</v>
      </c>
      <c r="C188">
        <v>2413.921496629715</v>
      </c>
      <c r="D188">
        <v>2133</v>
      </c>
      <c r="E188">
        <v>3994</v>
      </c>
      <c r="F188">
        <v>10</v>
      </c>
      <c r="G188">
        <v>9</v>
      </c>
      <c r="H188">
        <v>57854145192165.117</v>
      </c>
      <c r="I188">
        <v>1.029126213592233</v>
      </c>
      <c r="J188">
        <v>2.058252427184466</v>
      </c>
      <c r="K188">
        <v>2</v>
      </c>
      <c r="L188">
        <v>11.444444444444439</v>
      </c>
      <c r="M188">
        <v>1212982689600000</v>
      </c>
      <c r="N188">
        <v>2</v>
      </c>
      <c r="O188">
        <v>4</v>
      </c>
      <c r="P188">
        <v>206</v>
      </c>
      <c r="Q188">
        <v>103</v>
      </c>
      <c r="R188">
        <v>9</v>
      </c>
      <c r="S188">
        <v>19</v>
      </c>
      <c r="T188">
        <v>1745</v>
      </c>
      <c r="U188">
        <v>144</v>
      </c>
      <c r="V188">
        <v>5958976954793007</v>
      </c>
      <c r="W188">
        <v>212</v>
      </c>
    </row>
    <row r="189" spans="1:23" x14ac:dyDescent="0.2">
      <c r="A189" t="s">
        <v>347</v>
      </c>
      <c r="B189" t="s">
        <v>157</v>
      </c>
      <c r="C189">
        <v>3.9403834342956539</v>
      </c>
      <c r="D189">
        <v>121</v>
      </c>
      <c r="E189">
        <v>757</v>
      </c>
      <c r="F189">
        <v>8</v>
      </c>
      <c r="G189">
        <v>6</v>
      </c>
      <c r="H189">
        <v>0</v>
      </c>
      <c r="I189">
        <v>1.056179775280899</v>
      </c>
      <c r="J189">
        <v>2.9375</v>
      </c>
      <c r="K189">
        <v>2.78125</v>
      </c>
      <c r="L189">
        <v>5.333333333333333</v>
      </c>
      <c r="M189">
        <v>0</v>
      </c>
      <c r="N189">
        <v>6</v>
      </c>
      <c r="O189">
        <v>5</v>
      </c>
      <c r="P189">
        <v>89</v>
      </c>
      <c r="Q189">
        <v>32</v>
      </c>
      <c r="R189">
        <v>6</v>
      </c>
      <c r="S189">
        <v>13</v>
      </c>
      <c r="T189">
        <v>322</v>
      </c>
      <c r="U189">
        <v>57</v>
      </c>
      <c r="V189">
        <v>0</v>
      </c>
      <c r="W189">
        <v>94</v>
      </c>
    </row>
    <row r="190" spans="1:23" x14ac:dyDescent="0.2">
      <c r="A190" t="s">
        <v>348</v>
      </c>
      <c r="B190" t="s">
        <v>157</v>
      </c>
      <c r="C190">
        <v>3517.3604846000671</v>
      </c>
      <c r="D190">
        <v>2692</v>
      </c>
      <c r="E190">
        <v>4400</v>
      </c>
      <c r="F190">
        <v>10</v>
      </c>
      <c r="G190">
        <v>9</v>
      </c>
      <c r="H190">
        <v>58996447829058.32</v>
      </c>
      <c r="I190">
        <v>1.028169014084507</v>
      </c>
      <c r="J190">
        <v>2.1262135922330101</v>
      </c>
      <c r="K190">
        <v>2.0679611650485441</v>
      </c>
      <c r="L190">
        <v>11.444444444444439</v>
      </c>
      <c r="M190">
        <v>1212982689600000</v>
      </c>
      <c r="N190">
        <v>2</v>
      </c>
      <c r="O190">
        <v>4</v>
      </c>
      <c r="P190">
        <v>213</v>
      </c>
      <c r="Q190">
        <v>103</v>
      </c>
      <c r="R190">
        <v>9</v>
      </c>
      <c r="S190">
        <v>19</v>
      </c>
      <c r="T190">
        <v>1738</v>
      </c>
      <c r="U190">
        <v>144</v>
      </c>
      <c r="V190">
        <v>6076634126393007</v>
      </c>
      <c r="W190">
        <v>219</v>
      </c>
    </row>
    <row r="191" spans="1:23" x14ac:dyDescent="0.2">
      <c r="A191" t="s">
        <v>349</v>
      </c>
      <c r="B191" t="s">
        <v>157</v>
      </c>
      <c r="C191">
        <v>53.819732666015618</v>
      </c>
      <c r="D191">
        <v>2194</v>
      </c>
      <c r="E191">
        <v>5767</v>
      </c>
      <c r="F191">
        <v>10</v>
      </c>
      <c r="G191">
        <v>9</v>
      </c>
      <c r="H191">
        <v>0.67924528301886788</v>
      </c>
      <c r="I191">
        <v>1</v>
      </c>
      <c r="J191">
        <v>1.4905660377358489</v>
      </c>
      <c r="K191">
        <v>1.4905660377358489</v>
      </c>
      <c r="L191">
        <v>5.8888888888888893</v>
      </c>
      <c r="M191">
        <v>8</v>
      </c>
      <c r="N191">
        <v>1</v>
      </c>
      <c r="O191">
        <v>2</v>
      </c>
      <c r="P191">
        <v>79</v>
      </c>
      <c r="Q191">
        <v>53</v>
      </c>
      <c r="R191">
        <v>9</v>
      </c>
      <c r="S191">
        <v>10</v>
      </c>
      <c r="T191">
        <v>451</v>
      </c>
      <c r="U191">
        <v>74</v>
      </c>
      <c r="V191">
        <v>36</v>
      </c>
      <c r="W191">
        <v>79</v>
      </c>
    </row>
    <row r="192" spans="1:23" x14ac:dyDescent="0.2">
      <c r="A192" t="s">
        <v>350</v>
      </c>
      <c r="B192" t="s">
        <v>157</v>
      </c>
      <c r="C192">
        <v>7.5023374557495117</v>
      </c>
      <c r="D192">
        <v>8692</v>
      </c>
      <c r="E192">
        <v>13716</v>
      </c>
      <c r="F192">
        <v>17</v>
      </c>
      <c r="G192">
        <v>16</v>
      </c>
      <c r="H192">
        <v>0</v>
      </c>
      <c r="I192">
        <v>1.032520325203252</v>
      </c>
      <c r="J192">
        <v>1.984375</v>
      </c>
      <c r="K192">
        <v>1.921875</v>
      </c>
      <c r="L192">
        <v>4</v>
      </c>
      <c r="M192">
        <v>0</v>
      </c>
      <c r="N192">
        <v>2</v>
      </c>
      <c r="O192">
        <v>2</v>
      </c>
      <c r="P192">
        <v>123</v>
      </c>
      <c r="Q192">
        <v>64</v>
      </c>
      <c r="R192">
        <v>16</v>
      </c>
      <c r="S192">
        <v>21</v>
      </c>
      <c r="T192">
        <v>1217</v>
      </c>
      <c r="U192">
        <v>304</v>
      </c>
      <c r="V192">
        <v>0</v>
      </c>
      <c r="W192">
        <v>127</v>
      </c>
    </row>
    <row r="193" spans="1:23" x14ac:dyDescent="0.2">
      <c r="A193" t="s">
        <v>351</v>
      </c>
      <c r="B193" t="s">
        <v>157</v>
      </c>
      <c r="C193">
        <v>1234.5668692588811</v>
      </c>
      <c r="D193">
        <v>1612</v>
      </c>
      <c r="E193">
        <v>3040</v>
      </c>
      <c r="F193">
        <v>9</v>
      </c>
      <c r="G193">
        <v>8</v>
      </c>
      <c r="H193">
        <v>0.67441860465116277</v>
      </c>
      <c r="I193">
        <v>1</v>
      </c>
      <c r="J193">
        <v>1.7906976744186049</v>
      </c>
      <c r="K193">
        <v>1.7906976744186049</v>
      </c>
      <c r="L193">
        <v>5.375</v>
      </c>
      <c r="M193">
        <v>7</v>
      </c>
      <c r="N193">
        <v>1</v>
      </c>
      <c r="O193">
        <v>3</v>
      </c>
      <c r="P193">
        <v>77</v>
      </c>
      <c r="Q193">
        <v>43</v>
      </c>
      <c r="R193">
        <v>8</v>
      </c>
      <c r="S193">
        <v>9</v>
      </c>
      <c r="T193">
        <v>310</v>
      </c>
      <c r="U193">
        <v>51</v>
      </c>
      <c r="V193">
        <v>29</v>
      </c>
      <c r="W193">
        <v>77</v>
      </c>
    </row>
    <row r="194" spans="1:23" x14ac:dyDescent="0.2">
      <c r="A194" t="s">
        <v>352</v>
      </c>
      <c r="B194" t="s">
        <v>157</v>
      </c>
      <c r="C194">
        <v>94.491261959075914</v>
      </c>
      <c r="D194">
        <v>1924</v>
      </c>
      <c r="E194">
        <v>4365</v>
      </c>
      <c r="F194">
        <v>10</v>
      </c>
      <c r="G194">
        <v>9</v>
      </c>
      <c r="H194">
        <v>0.67924528301886788</v>
      </c>
      <c r="I194">
        <v>1</v>
      </c>
      <c r="J194">
        <v>1.4905660377358489</v>
      </c>
      <c r="K194">
        <v>1.4905660377358489</v>
      </c>
      <c r="L194">
        <v>5.8888888888888893</v>
      </c>
      <c r="M194">
        <v>8</v>
      </c>
      <c r="N194">
        <v>1</v>
      </c>
      <c r="O194">
        <v>2</v>
      </c>
      <c r="P194">
        <v>79</v>
      </c>
      <c r="Q194">
        <v>53</v>
      </c>
      <c r="R194">
        <v>9</v>
      </c>
      <c r="S194">
        <v>10</v>
      </c>
      <c r="T194">
        <v>451</v>
      </c>
      <c r="U194">
        <v>74</v>
      </c>
      <c r="V194">
        <v>36</v>
      </c>
      <c r="W194">
        <v>79</v>
      </c>
    </row>
    <row r="195" spans="1:23" x14ac:dyDescent="0.2">
      <c r="A195" t="s">
        <v>353</v>
      </c>
      <c r="B195" t="s">
        <v>157</v>
      </c>
      <c r="C195">
        <v>3137.3245625495911</v>
      </c>
      <c r="D195">
        <v>2689</v>
      </c>
      <c r="E195">
        <v>4418</v>
      </c>
      <c r="F195">
        <v>10</v>
      </c>
      <c r="G195">
        <v>9</v>
      </c>
      <c r="H195">
        <v>58996447829058.32</v>
      </c>
      <c r="I195">
        <v>1.028169014084507</v>
      </c>
      <c r="J195">
        <v>2.1262135922330101</v>
      </c>
      <c r="K195">
        <v>2.0679611650485441</v>
      </c>
      <c r="L195">
        <v>11.444444444444439</v>
      </c>
      <c r="M195">
        <v>1212982689600000</v>
      </c>
      <c r="N195">
        <v>2</v>
      </c>
      <c r="O195">
        <v>4</v>
      </c>
      <c r="P195">
        <v>213</v>
      </c>
      <c r="Q195">
        <v>103</v>
      </c>
      <c r="R195">
        <v>9</v>
      </c>
      <c r="S195">
        <v>19</v>
      </c>
      <c r="T195">
        <v>1738</v>
      </c>
      <c r="U195">
        <v>144</v>
      </c>
      <c r="V195">
        <v>6076634126393007</v>
      </c>
      <c r="W195">
        <v>219</v>
      </c>
    </row>
    <row r="196" spans="1:23" x14ac:dyDescent="0.2">
      <c r="A196" t="s">
        <v>354</v>
      </c>
      <c r="B196" t="s">
        <v>157</v>
      </c>
      <c r="C196">
        <v>240.67592906951899</v>
      </c>
      <c r="D196">
        <v>362</v>
      </c>
      <c r="E196">
        <v>2720</v>
      </c>
      <c r="F196">
        <v>6</v>
      </c>
      <c r="G196">
        <v>5</v>
      </c>
      <c r="H196">
        <v>2.034782608695652</v>
      </c>
      <c r="I196">
        <v>1.6647398843930641</v>
      </c>
      <c r="J196">
        <v>2.5043478260869572</v>
      </c>
      <c r="K196">
        <v>1.5043478260869561</v>
      </c>
      <c r="L196">
        <v>23</v>
      </c>
      <c r="M196">
        <v>6</v>
      </c>
      <c r="N196">
        <v>3</v>
      </c>
      <c r="O196">
        <v>2</v>
      </c>
      <c r="P196">
        <v>173</v>
      </c>
      <c r="Q196">
        <v>115</v>
      </c>
      <c r="R196">
        <v>5</v>
      </c>
      <c r="S196">
        <v>16</v>
      </c>
      <c r="T196">
        <v>1552</v>
      </c>
      <c r="U196">
        <v>65</v>
      </c>
      <c r="V196">
        <v>234</v>
      </c>
      <c r="W196">
        <v>288</v>
      </c>
    </row>
    <row r="197" spans="1:23" x14ac:dyDescent="0.2">
      <c r="A197" t="s">
        <v>355</v>
      </c>
      <c r="B197" t="s">
        <v>157</v>
      </c>
      <c r="C197">
        <v>293.0501344203949</v>
      </c>
      <c r="D197">
        <v>362</v>
      </c>
      <c r="E197">
        <v>2716</v>
      </c>
      <c r="F197">
        <v>6</v>
      </c>
      <c r="G197">
        <v>5</v>
      </c>
      <c r="H197">
        <v>2.034782608695652</v>
      </c>
      <c r="I197">
        <v>1.6647398843930641</v>
      </c>
      <c r="J197">
        <v>2.5043478260869572</v>
      </c>
      <c r="K197">
        <v>1.5043478260869561</v>
      </c>
      <c r="L197">
        <v>23</v>
      </c>
      <c r="M197">
        <v>6</v>
      </c>
      <c r="N197">
        <v>3</v>
      </c>
      <c r="O197">
        <v>2</v>
      </c>
      <c r="P197">
        <v>173</v>
      </c>
      <c r="Q197">
        <v>115</v>
      </c>
      <c r="R197">
        <v>5</v>
      </c>
      <c r="S197">
        <v>16</v>
      </c>
      <c r="T197">
        <v>1552</v>
      </c>
      <c r="U197">
        <v>65</v>
      </c>
      <c r="V197">
        <v>234</v>
      </c>
      <c r="W197">
        <v>288</v>
      </c>
    </row>
    <row r="198" spans="1:23" x14ac:dyDescent="0.2">
      <c r="A198" t="s">
        <v>356</v>
      </c>
      <c r="B198" t="s">
        <v>158</v>
      </c>
      <c r="C198" t="s">
        <v>159</v>
      </c>
      <c r="D198" t="s">
        <v>159</v>
      </c>
      <c r="E198" t="s">
        <v>159</v>
      </c>
      <c r="F198" t="s">
        <v>159</v>
      </c>
      <c r="G198" t="s">
        <v>159</v>
      </c>
      <c r="H198" t="s">
        <v>159</v>
      </c>
      <c r="I198" t="s">
        <v>159</v>
      </c>
      <c r="J198" t="s">
        <v>159</v>
      </c>
      <c r="K198" t="s">
        <v>159</v>
      </c>
      <c r="L198" t="s">
        <v>159</v>
      </c>
      <c r="M198" t="s">
        <v>159</v>
      </c>
      <c r="N198" t="s">
        <v>159</v>
      </c>
      <c r="O198" t="s">
        <v>159</v>
      </c>
      <c r="P198" t="s">
        <v>159</v>
      </c>
      <c r="Q198" t="s">
        <v>159</v>
      </c>
      <c r="R198" t="s">
        <v>159</v>
      </c>
      <c r="S198" t="s">
        <v>159</v>
      </c>
      <c r="T198" t="s">
        <v>159</v>
      </c>
      <c r="U198" t="s">
        <v>159</v>
      </c>
      <c r="V198" t="s">
        <v>159</v>
      </c>
      <c r="W198" t="s">
        <v>159</v>
      </c>
    </row>
    <row r="199" spans="1:23" x14ac:dyDescent="0.2">
      <c r="A199" t="s">
        <v>357</v>
      </c>
      <c r="B199" t="s">
        <v>157</v>
      </c>
      <c r="C199">
        <v>10.30852031707764</v>
      </c>
      <c r="D199">
        <v>608</v>
      </c>
      <c r="E199">
        <v>1151</v>
      </c>
      <c r="F199">
        <v>9</v>
      </c>
      <c r="G199">
        <v>8</v>
      </c>
      <c r="H199">
        <v>0.65116279069767447</v>
      </c>
      <c r="I199">
        <v>1</v>
      </c>
      <c r="J199">
        <v>1.441860465116279</v>
      </c>
      <c r="K199">
        <v>1.441860465116279</v>
      </c>
      <c r="L199">
        <v>5.375</v>
      </c>
      <c r="M199">
        <v>7</v>
      </c>
      <c r="N199">
        <v>1</v>
      </c>
      <c r="O199">
        <v>2</v>
      </c>
      <c r="P199">
        <v>62</v>
      </c>
      <c r="Q199">
        <v>43</v>
      </c>
      <c r="R199">
        <v>8</v>
      </c>
      <c r="S199">
        <v>9</v>
      </c>
      <c r="T199">
        <v>325</v>
      </c>
      <c r="U199">
        <v>58</v>
      </c>
      <c r="V199">
        <v>28</v>
      </c>
      <c r="W199">
        <v>62</v>
      </c>
    </row>
    <row r="200" spans="1:23" x14ac:dyDescent="0.2">
      <c r="A200" t="s">
        <v>358</v>
      </c>
      <c r="B200" t="s">
        <v>157</v>
      </c>
      <c r="C200">
        <v>64.324505567550659</v>
      </c>
      <c r="D200">
        <v>2078</v>
      </c>
      <c r="E200">
        <v>5378</v>
      </c>
      <c r="F200">
        <v>10</v>
      </c>
      <c r="G200">
        <v>9</v>
      </c>
      <c r="H200">
        <v>0.67924528301886788</v>
      </c>
      <c r="I200">
        <v>1</v>
      </c>
      <c r="J200">
        <v>1.4905660377358489</v>
      </c>
      <c r="K200">
        <v>1.4905660377358489</v>
      </c>
      <c r="L200">
        <v>5.8888888888888893</v>
      </c>
      <c r="M200">
        <v>8</v>
      </c>
      <c r="N200">
        <v>1</v>
      </c>
      <c r="O200">
        <v>2</v>
      </c>
      <c r="P200">
        <v>79</v>
      </c>
      <c r="Q200">
        <v>53</v>
      </c>
      <c r="R200">
        <v>9</v>
      </c>
      <c r="S200">
        <v>10</v>
      </c>
      <c r="T200">
        <v>451</v>
      </c>
      <c r="U200">
        <v>74</v>
      </c>
      <c r="V200">
        <v>36</v>
      </c>
      <c r="W200">
        <v>79</v>
      </c>
    </row>
    <row r="201" spans="1:23" x14ac:dyDescent="0.2">
      <c r="A201" t="s">
        <v>359</v>
      </c>
      <c r="B201" t="s">
        <v>157</v>
      </c>
      <c r="C201">
        <v>2148.267671346664</v>
      </c>
      <c r="D201">
        <v>2873</v>
      </c>
      <c r="E201">
        <v>4931</v>
      </c>
      <c r="F201">
        <v>10</v>
      </c>
      <c r="G201">
        <v>9</v>
      </c>
      <c r="H201">
        <v>0.69811320754716977</v>
      </c>
      <c r="I201">
        <v>1</v>
      </c>
      <c r="J201">
        <v>2.0188679245283021</v>
      </c>
      <c r="K201">
        <v>2.0188679245283021</v>
      </c>
      <c r="L201">
        <v>5.8888888888888893</v>
      </c>
      <c r="M201">
        <v>8</v>
      </c>
      <c r="N201">
        <v>1</v>
      </c>
      <c r="O201">
        <v>3</v>
      </c>
      <c r="P201">
        <v>107</v>
      </c>
      <c r="Q201">
        <v>53</v>
      </c>
      <c r="R201">
        <v>9</v>
      </c>
      <c r="S201">
        <v>10</v>
      </c>
      <c r="T201">
        <v>423</v>
      </c>
      <c r="U201">
        <v>66</v>
      </c>
      <c r="V201">
        <v>37</v>
      </c>
      <c r="W201">
        <v>107</v>
      </c>
    </row>
    <row r="202" spans="1:23" x14ac:dyDescent="0.2">
      <c r="A202" t="s">
        <v>360</v>
      </c>
      <c r="B202" t="s">
        <v>157</v>
      </c>
      <c r="C202">
        <v>5.5383701324462891</v>
      </c>
      <c r="D202">
        <v>6634</v>
      </c>
      <c r="E202">
        <v>10126</v>
      </c>
      <c r="F202">
        <v>17</v>
      </c>
      <c r="G202">
        <v>16</v>
      </c>
      <c r="H202">
        <v>0</v>
      </c>
      <c r="I202">
        <v>1.032520325203252</v>
      </c>
      <c r="J202">
        <v>1.984375</v>
      </c>
      <c r="K202">
        <v>1.921875</v>
      </c>
      <c r="L202">
        <v>4</v>
      </c>
      <c r="M202">
        <v>0</v>
      </c>
      <c r="N202">
        <v>2</v>
      </c>
      <c r="O202">
        <v>2</v>
      </c>
      <c r="P202">
        <v>123</v>
      </c>
      <c r="Q202">
        <v>64</v>
      </c>
      <c r="R202">
        <v>16</v>
      </c>
      <c r="S202">
        <v>21</v>
      </c>
      <c r="T202">
        <v>1217</v>
      </c>
      <c r="U202">
        <v>304</v>
      </c>
      <c r="V202">
        <v>0</v>
      </c>
      <c r="W202">
        <v>127</v>
      </c>
    </row>
    <row r="203" spans="1:23" x14ac:dyDescent="0.2">
      <c r="A203" t="s">
        <v>361</v>
      </c>
      <c r="B203" t="s">
        <v>157</v>
      </c>
      <c r="C203">
        <v>6.4351837635040283</v>
      </c>
      <c r="D203">
        <v>8672</v>
      </c>
      <c r="E203">
        <v>11903</v>
      </c>
      <c r="F203">
        <v>17</v>
      </c>
      <c r="G203">
        <v>16</v>
      </c>
      <c r="H203">
        <v>0</v>
      </c>
      <c r="I203">
        <v>1.032520325203252</v>
      </c>
      <c r="J203">
        <v>1.984375</v>
      </c>
      <c r="K203">
        <v>1.921875</v>
      </c>
      <c r="L203">
        <v>4</v>
      </c>
      <c r="M203">
        <v>0</v>
      </c>
      <c r="N203">
        <v>2</v>
      </c>
      <c r="O203">
        <v>2</v>
      </c>
      <c r="P203">
        <v>123</v>
      </c>
      <c r="Q203">
        <v>64</v>
      </c>
      <c r="R203">
        <v>16</v>
      </c>
      <c r="S203">
        <v>21</v>
      </c>
      <c r="T203">
        <v>1217</v>
      </c>
      <c r="U203">
        <v>304</v>
      </c>
      <c r="V203">
        <v>0</v>
      </c>
      <c r="W203">
        <v>127</v>
      </c>
    </row>
    <row r="204" spans="1:23" x14ac:dyDescent="0.2">
      <c r="A204" t="s">
        <v>362</v>
      </c>
      <c r="B204" t="s">
        <v>157</v>
      </c>
      <c r="C204">
        <v>149.1484375</v>
      </c>
      <c r="D204">
        <v>649</v>
      </c>
      <c r="E204">
        <v>784</v>
      </c>
      <c r="F204">
        <v>11</v>
      </c>
      <c r="G204">
        <v>10</v>
      </c>
      <c r="H204">
        <v>64.95</v>
      </c>
      <c r="I204">
        <v>1</v>
      </c>
      <c r="J204">
        <v>1.5249999999999999</v>
      </c>
      <c r="K204">
        <v>1.5249999999999999</v>
      </c>
      <c r="L204">
        <v>4</v>
      </c>
      <c r="M204">
        <v>595</v>
      </c>
      <c r="N204">
        <v>1</v>
      </c>
      <c r="O204">
        <v>2</v>
      </c>
      <c r="P204">
        <v>61</v>
      </c>
      <c r="Q204">
        <v>40</v>
      </c>
      <c r="R204">
        <v>10</v>
      </c>
      <c r="S204">
        <v>11</v>
      </c>
      <c r="T204">
        <v>379</v>
      </c>
      <c r="U204">
        <v>92</v>
      </c>
      <c r="V204">
        <v>2598</v>
      </c>
      <c r="W204">
        <v>61</v>
      </c>
    </row>
    <row r="205" spans="1:23" x14ac:dyDescent="0.2">
      <c r="A205" t="s">
        <v>363</v>
      </c>
      <c r="B205" t="s">
        <v>157</v>
      </c>
      <c r="C205">
        <v>8.9599401950836182</v>
      </c>
      <c r="D205">
        <v>326</v>
      </c>
      <c r="E205">
        <v>281</v>
      </c>
      <c r="F205">
        <v>8</v>
      </c>
      <c r="G205">
        <v>7</v>
      </c>
      <c r="H205">
        <v>0.6470588235294118</v>
      </c>
      <c r="I205">
        <v>1</v>
      </c>
      <c r="J205">
        <v>1.8235294117647061</v>
      </c>
      <c r="K205">
        <v>1.8235294117647061</v>
      </c>
      <c r="L205">
        <v>4.8571428571428568</v>
      </c>
      <c r="M205">
        <v>6</v>
      </c>
      <c r="N205">
        <v>1</v>
      </c>
      <c r="O205">
        <v>3</v>
      </c>
      <c r="P205">
        <v>62</v>
      </c>
      <c r="Q205">
        <v>34</v>
      </c>
      <c r="R205">
        <v>7</v>
      </c>
      <c r="S205">
        <v>8</v>
      </c>
      <c r="T205">
        <v>210</v>
      </c>
      <c r="U205">
        <v>38</v>
      </c>
      <c r="V205">
        <v>22</v>
      </c>
      <c r="W205">
        <v>62</v>
      </c>
    </row>
    <row r="206" spans="1:23" x14ac:dyDescent="0.2">
      <c r="A206" t="s">
        <v>364</v>
      </c>
      <c r="B206" t="s">
        <v>157</v>
      </c>
      <c r="C206">
        <v>3.7487607002258301</v>
      </c>
      <c r="D206">
        <v>252</v>
      </c>
      <c r="E206">
        <v>426</v>
      </c>
      <c r="F206">
        <v>11</v>
      </c>
      <c r="G206">
        <v>9</v>
      </c>
      <c r="H206">
        <v>2.7162162162162158</v>
      </c>
      <c r="I206">
        <v>1</v>
      </c>
      <c r="J206">
        <v>1.459459459459459</v>
      </c>
      <c r="K206">
        <v>1.459459459459459</v>
      </c>
      <c r="L206">
        <v>8.2222222222222214</v>
      </c>
      <c r="M206">
        <v>4</v>
      </c>
      <c r="N206">
        <v>1</v>
      </c>
      <c r="O206">
        <v>2</v>
      </c>
      <c r="P206">
        <v>108</v>
      </c>
      <c r="Q206">
        <v>74</v>
      </c>
      <c r="R206">
        <v>9</v>
      </c>
      <c r="S206">
        <v>11</v>
      </c>
      <c r="T206">
        <v>706</v>
      </c>
      <c r="U206">
        <v>83</v>
      </c>
      <c r="V206">
        <v>201</v>
      </c>
      <c r="W206">
        <v>108</v>
      </c>
    </row>
    <row r="207" spans="1:23" x14ac:dyDescent="0.2">
      <c r="A207" t="s">
        <v>365</v>
      </c>
      <c r="B207" t="s">
        <v>157</v>
      </c>
      <c r="C207">
        <v>16.65606427192688</v>
      </c>
      <c r="D207">
        <v>1671</v>
      </c>
      <c r="E207">
        <v>1549</v>
      </c>
      <c r="F207">
        <v>13</v>
      </c>
      <c r="G207">
        <v>12</v>
      </c>
      <c r="H207">
        <v>5375.391304347826</v>
      </c>
      <c r="I207">
        <v>1.2068965517241379</v>
      </c>
      <c r="J207">
        <v>1.5217391304347829</v>
      </c>
      <c r="K207">
        <v>1.2608695652173909</v>
      </c>
      <c r="L207">
        <v>3.833333333333333</v>
      </c>
      <c r="M207">
        <v>39701</v>
      </c>
      <c r="N207">
        <v>2</v>
      </c>
      <c r="O207">
        <v>3</v>
      </c>
      <c r="P207">
        <v>58</v>
      </c>
      <c r="Q207">
        <v>46</v>
      </c>
      <c r="R207">
        <v>12</v>
      </c>
      <c r="S207">
        <v>25</v>
      </c>
      <c r="T207">
        <v>1080</v>
      </c>
      <c r="U207">
        <v>275</v>
      </c>
      <c r="V207">
        <v>247268</v>
      </c>
      <c r="W207">
        <v>70</v>
      </c>
    </row>
    <row r="208" spans="1:23" x14ac:dyDescent="0.2">
      <c r="A208" t="s">
        <v>366</v>
      </c>
      <c r="B208" t="s">
        <v>157</v>
      </c>
      <c r="C208">
        <v>59.328680992126458</v>
      </c>
      <c r="D208">
        <v>2363</v>
      </c>
      <c r="E208">
        <v>2663</v>
      </c>
      <c r="F208">
        <v>13</v>
      </c>
      <c r="G208">
        <v>12</v>
      </c>
      <c r="H208">
        <v>5375.391304347826</v>
      </c>
      <c r="I208">
        <v>1.128571428571429</v>
      </c>
      <c r="J208">
        <v>1.7173913043478259</v>
      </c>
      <c r="K208">
        <v>1.5217391304347829</v>
      </c>
      <c r="L208">
        <v>3.833333333333333</v>
      </c>
      <c r="M208">
        <v>39701</v>
      </c>
      <c r="N208">
        <v>2</v>
      </c>
      <c r="O208">
        <v>5</v>
      </c>
      <c r="P208">
        <v>70</v>
      </c>
      <c r="Q208">
        <v>46</v>
      </c>
      <c r="R208">
        <v>12</v>
      </c>
      <c r="S208">
        <v>25</v>
      </c>
      <c r="T208">
        <v>1071</v>
      </c>
      <c r="U208">
        <v>272</v>
      </c>
      <c r="V208">
        <v>247268</v>
      </c>
      <c r="W208">
        <v>79</v>
      </c>
    </row>
    <row r="209" spans="1:23" x14ac:dyDescent="0.2">
      <c r="A209" t="s">
        <v>367</v>
      </c>
      <c r="B209" t="s">
        <v>157</v>
      </c>
      <c r="C209">
        <v>11.41945338249206</v>
      </c>
      <c r="D209">
        <v>380</v>
      </c>
      <c r="E209">
        <v>595</v>
      </c>
      <c r="F209">
        <v>7</v>
      </c>
      <c r="G209">
        <v>6</v>
      </c>
      <c r="H209">
        <v>6.5882352941176467</v>
      </c>
      <c r="I209">
        <v>1.3787878787878789</v>
      </c>
      <c r="J209">
        <v>1.784313725490196</v>
      </c>
      <c r="K209">
        <v>1.294117647058824</v>
      </c>
      <c r="L209">
        <v>8.5</v>
      </c>
      <c r="M209">
        <v>50</v>
      </c>
      <c r="N209">
        <v>2</v>
      </c>
      <c r="O209">
        <v>2</v>
      </c>
      <c r="P209">
        <v>66</v>
      </c>
      <c r="Q209">
        <v>51</v>
      </c>
      <c r="R209">
        <v>6</v>
      </c>
      <c r="S209">
        <v>13</v>
      </c>
      <c r="T209">
        <v>572</v>
      </c>
      <c r="U209">
        <v>66</v>
      </c>
      <c r="V209">
        <v>336</v>
      </c>
      <c r="W209">
        <v>91</v>
      </c>
    </row>
    <row r="210" spans="1:23" x14ac:dyDescent="0.2">
      <c r="A210" t="s">
        <v>368</v>
      </c>
      <c r="B210" t="s">
        <v>157</v>
      </c>
      <c r="C210">
        <v>20.047636747360229</v>
      </c>
      <c r="D210">
        <v>368</v>
      </c>
      <c r="E210">
        <v>374</v>
      </c>
      <c r="F210">
        <v>10</v>
      </c>
      <c r="G210">
        <v>9</v>
      </c>
      <c r="H210">
        <v>9.6393442622950793</v>
      </c>
      <c r="I210">
        <v>1.008403361344538</v>
      </c>
      <c r="J210">
        <v>1.9672131147540981</v>
      </c>
      <c r="K210">
        <v>1.9508196721311479</v>
      </c>
      <c r="L210">
        <v>6.7777777777777777</v>
      </c>
      <c r="M210">
        <v>100</v>
      </c>
      <c r="N210">
        <v>2</v>
      </c>
      <c r="O210">
        <v>4</v>
      </c>
      <c r="P210">
        <v>119</v>
      </c>
      <c r="Q210">
        <v>61</v>
      </c>
      <c r="R210">
        <v>9</v>
      </c>
      <c r="S210">
        <v>19</v>
      </c>
      <c r="T210">
        <v>1039</v>
      </c>
      <c r="U210">
        <v>147</v>
      </c>
      <c r="V210">
        <v>588</v>
      </c>
      <c r="W210">
        <v>120</v>
      </c>
    </row>
    <row r="211" spans="1:23" x14ac:dyDescent="0.2">
      <c r="A211" t="s">
        <v>369</v>
      </c>
      <c r="B211" t="s">
        <v>158</v>
      </c>
      <c r="C211" t="s">
        <v>159</v>
      </c>
      <c r="D211" t="s">
        <v>159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  <c r="P211" t="s">
        <v>159</v>
      </c>
      <c r="Q211" t="s">
        <v>159</v>
      </c>
      <c r="R211" t="s">
        <v>159</v>
      </c>
      <c r="S211" t="s">
        <v>159</v>
      </c>
      <c r="T211" t="s">
        <v>159</v>
      </c>
      <c r="U211" t="s">
        <v>159</v>
      </c>
      <c r="V211" t="s">
        <v>159</v>
      </c>
      <c r="W211" t="s">
        <v>159</v>
      </c>
    </row>
    <row r="212" spans="1:23" x14ac:dyDescent="0.2">
      <c r="A212" t="s">
        <v>370</v>
      </c>
      <c r="B212" t="s">
        <v>157</v>
      </c>
      <c r="C212">
        <v>789.95965433120728</v>
      </c>
      <c r="D212">
        <v>1974</v>
      </c>
      <c r="E212">
        <v>3186</v>
      </c>
      <c r="F212">
        <v>10</v>
      </c>
      <c r="G212">
        <v>9</v>
      </c>
      <c r="H212">
        <v>57275181875660.273</v>
      </c>
      <c r="I212">
        <v>1.029126213592233</v>
      </c>
      <c r="J212">
        <v>2.058252427184466</v>
      </c>
      <c r="K212">
        <v>2</v>
      </c>
      <c r="L212">
        <v>11.444444444444439</v>
      </c>
      <c r="M212">
        <v>1212982689600000</v>
      </c>
      <c r="N212">
        <v>2</v>
      </c>
      <c r="O212">
        <v>4</v>
      </c>
      <c r="P212">
        <v>206</v>
      </c>
      <c r="Q212">
        <v>103</v>
      </c>
      <c r="R212">
        <v>9</v>
      </c>
      <c r="S212">
        <v>19</v>
      </c>
      <c r="T212">
        <v>1745</v>
      </c>
      <c r="U212">
        <v>144</v>
      </c>
      <c r="V212">
        <v>5899343733193007</v>
      </c>
      <c r="W212">
        <v>212</v>
      </c>
    </row>
    <row r="213" spans="1:23" x14ac:dyDescent="0.2">
      <c r="A213" t="s">
        <v>371</v>
      </c>
      <c r="B213" t="s">
        <v>157</v>
      </c>
      <c r="C213">
        <v>202.99952864646909</v>
      </c>
      <c r="D213">
        <v>352</v>
      </c>
      <c r="E213">
        <v>2672</v>
      </c>
      <c r="F213">
        <v>6</v>
      </c>
      <c r="G213">
        <v>5</v>
      </c>
      <c r="H213">
        <v>2.034782608695652</v>
      </c>
      <c r="I213">
        <v>1.6647398843930641</v>
      </c>
      <c r="J213">
        <v>2.5043478260869572</v>
      </c>
      <c r="K213">
        <v>1.5043478260869561</v>
      </c>
      <c r="L213">
        <v>23</v>
      </c>
      <c r="M213">
        <v>6</v>
      </c>
      <c r="N213">
        <v>3</v>
      </c>
      <c r="O213">
        <v>2</v>
      </c>
      <c r="P213">
        <v>173</v>
      </c>
      <c r="Q213">
        <v>115</v>
      </c>
      <c r="R213">
        <v>5</v>
      </c>
      <c r="S213">
        <v>16</v>
      </c>
      <c r="T213">
        <v>1552</v>
      </c>
      <c r="U213">
        <v>65</v>
      </c>
      <c r="V213">
        <v>234</v>
      </c>
      <c r="W213">
        <v>288</v>
      </c>
    </row>
    <row r="214" spans="1:23" x14ac:dyDescent="0.2">
      <c r="A214" t="s">
        <v>372</v>
      </c>
      <c r="B214" t="s">
        <v>157</v>
      </c>
      <c r="C214">
        <v>3285.5610764026642</v>
      </c>
      <c r="D214">
        <v>2836</v>
      </c>
      <c r="E214">
        <v>5414</v>
      </c>
      <c r="F214">
        <v>10</v>
      </c>
      <c r="G214">
        <v>9</v>
      </c>
      <c r="H214">
        <v>55861738986339.883</v>
      </c>
      <c r="I214">
        <v>1.019047619047619</v>
      </c>
      <c r="J214">
        <v>2.0776699029126209</v>
      </c>
      <c r="K214">
        <v>2.0388349514563111</v>
      </c>
      <c r="L214">
        <v>11.444444444444439</v>
      </c>
      <c r="M214">
        <v>1212982689600000</v>
      </c>
      <c r="N214">
        <v>2</v>
      </c>
      <c r="O214">
        <v>4</v>
      </c>
      <c r="P214">
        <v>210</v>
      </c>
      <c r="Q214">
        <v>103</v>
      </c>
      <c r="R214">
        <v>9</v>
      </c>
      <c r="S214">
        <v>19</v>
      </c>
      <c r="T214">
        <v>1743</v>
      </c>
      <c r="U214">
        <v>144</v>
      </c>
      <c r="V214">
        <v>5753759115593007</v>
      </c>
      <c r="W214">
        <v>214</v>
      </c>
    </row>
    <row r="215" spans="1:23" x14ac:dyDescent="0.2">
      <c r="A215" t="s">
        <v>373</v>
      </c>
      <c r="B215" t="s">
        <v>157</v>
      </c>
      <c r="C215">
        <v>117.3668127059936</v>
      </c>
      <c r="D215">
        <v>743</v>
      </c>
      <c r="E215">
        <v>16668</v>
      </c>
      <c r="F215">
        <v>7</v>
      </c>
      <c r="G215">
        <v>6</v>
      </c>
      <c r="H215">
        <v>3.125E-2</v>
      </c>
      <c r="I215">
        <v>1</v>
      </c>
      <c r="J215">
        <v>2.75</v>
      </c>
      <c r="K215">
        <v>2.75</v>
      </c>
      <c r="L215">
        <v>5.333333333333333</v>
      </c>
      <c r="M215">
        <v>1</v>
      </c>
      <c r="N215">
        <v>1</v>
      </c>
      <c r="O215">
        <v>5</v>
      </c>
      <c r="P215">
        <v>88</v>
      </c>
      <c r="Q215">
        <v>32</v>
      </c>
      <c r="R215">
        <v>6</v>
      </c>
      <c r="S215">
        <v>7</v>
      </c>
      <c r="T215">
        <v>136</v>
      </c>
      <c r="U215">
        <v>22</v>
      </c>
      <c r="V215">
        <v>1</v>
      </c>
      <c r="W215">
        <v>88</v>
      </c>
    </row>
    <row r="216" spans="1:23" x14ac:dyDescent="0.2">
      <c r="A216" t="s">
        <v>374</v>
      </c>
      <c r="B216" t="s">
        <v>157</v>
      </c>
      <c r="C216">
        <v>96.708955049514756</v>
      </c>
      <c r="D216">
        <v>1754</v>
      </c>
      <c r="E216">
        <v>4313</v>
      </c>
      <c r="F216">
        <v>10</v>
      </c>
      <c r="G216">
        <v>9</v>
      </c>
      <c r="H216">
        <v>0.67924528301886788</v>
      </c>
      <c r="I216">
        <v>1</v>
      </c>
      <c r="J216">
        <v>1.4905660377358489</v>
      </c>
      <c r="K216">
        <v>1.4905660377358489</v>
      </c>
      <c r="L216">
        <v>5.8888888888888893</v>
      </c>
      <c r="M216">
        <v>8</v>
      </c>
      <c r="N216">
        <v>1</v>
      </c>
      <c r="O216">
        <v>2</v>
      </c>
      <c r="P216">
        <v>79</v>
      </c>
      <c r="Q216">
        <v>53</v>
      </c>
      <c r="R216">
        <v>9</v>
      </c>
      <c r="S216">
        <v>10</v>
      </c>
      <c r="T216">
        <v>451</v>
      </c>
      <c r="U216">
        <v>74</v>
      </c>
      <c r="V216">
        <v>36</v>
      </c>
      <c r="W216">
        <v>79</v>
      </c>
    </row>
    <row r="217" spans="1:23" x14ac:dyDescent="0.2">
      <c r="A217" t="s">
        <v>375</v>
      </c>
      <c r="B217" t="s">
        <v>157</v>
      </c>
      <c r="C217">
        <v>67.586133718490601</v>
      </c>
      <c r="D217">
        <v>846</v>
      </c>
      <c r="E217">
        <v>1149</v>
      </c>
      <c r="F217">
        <v>9</v>
      </c>
      <c r="G217">
        <v>8</v>
      </c>
      <c r="H217">
        <v>0.67441860465116277</v>
      </c>
      <c r="I217">
        <v>1</v>
      </c>
      <c r="J217">
        <v>1.930232558139535</v>
      </c>
      <c r="K217">
        <v>1.930232558139535</v>
      </c>
      <c r="L217">
        <v>5.375</v>
      </c>
      <c r="M217">
        <v>7</v>
      </c>
      <c r="N217">
        <v>1</v>
      </c>
      <c r="O217">
        <v>3</v>
      </c>
      <c r="P217">
        <v>83</v>
      </c>
      <c r="Q217">
        <v>43</v>
      </c>
      <c r="R217">
        <v>8</v>
      </c>
      <c r="S217">
        <v>9</v>
      </c>
      <c r="T217">
        <v>304</v>
      </c>
      <c r="U217">
        <v>51</v>
      </c>
      <c r="V217">
        <v>29</v>
      </c>
      <c r="W217">
        <v>83</v>
      </c>
    </row>
    <row r="218" spans="1:23" x14ac:dyDescent="0.2">
      <c r="A218" t="s">
        <v>376</v>
      </c>
      <c r="B218" t="s">
        <v>157</v>
      </c>
      <c r="C218">
        <v>44.817292451858521</v>
      </c>
      <c r="D218">
        <v>24010</v>
      </c>
      <c r="E218">
        <v>107876</v>
      </c>
      <c r="F218">
        <v>17</v>
      </c>
      <c r="G218">
        <v>16</v>
      </c>
      <c r="H218">
        <v>0</v>
      </c>
      <c r="I218">
        <v>1.032520325203252</v>
      </c>
      <c r="J218">
        <v>1.984375</v>
      </c>
      <c r="K218">
        <v>1.921875</v>
      </c>
      <c r="L218">
        <v>4</v>
      </c>
      <c r="M218">
        <v>0</v>
      </c>
      <c r="N218">
        <v>2</v>
      </c>
      <c r="O218">
        <v>2</v>
      </c>
      <c r="P218">
        <v>123</v>
      </c>
      <c r="Q218">
        <v>64</v>
      </c>
      <c r="R218">
        <v>16</v>
      </c>
      <c r="S218">
        <v>21</v>
      </c>
      <c r="T218">
        <v>1217</v>
      </c>
      <c r="U218">
        <v>304</v>
      </c>
      <c r="V218">
        <v>0</v>
      </c>
      <c r="W218">
        <v>127</v>
      </c>
    </row>
    <row r="219" spans="1:23" x14ac:dyDescent="0.2">
      <c r="A219" t="s">
        <v>377</v>
      </c>
      <c r="B219" t="s">
        <v>157</v>
      </c>
      <c r="C219">
        <v>203.84984564781189</v>
      </c>
      <c r="D219">
        <v>1028</v>
      </c>
      <c r="E219">
        <v>21141</v>
      </c>
      <c r="F219">
        <v>7</v>
      </c>
      <c r="G219">
        <v>6</v>
      </c>
      <c r="H219">
        <v>3.125E-2</v>
      </c>
      <c r="I219">
        <v>1</v>
      </c>
      <c r="J219">
        <v>2.75</v>
      </c>
      <c r="K219">
        <v>2.75</v>
      </c>
      <c r="L219">
        <v>5.333333333333333</v>
      </c>
      <c r="M219">
        <v>1</v>
      </c>
      <c r="N219">
        <v>1</v>
      </c>
      <c r="O219">
        <v>5</v>
      </c>
      <c r="P219">
        <v>88</v>
      </c>
      <c r="Q219">
        <v>32</v>
      </c>
      <c r="R219">
        <v>6</v>
      </c>
      <c r="S219">
        <v>7</v>
      </c>
      <c r="T219">
        <v>136</v>
      </c>
      <c r="U219">
        <v>22</v>
      </c>
      <c r="V219">
        <v>1</v>
      </c>
      <c r="W219">
        <v>88</v>
      </c>
    </row>
    <row r="220" spans="1:23" x14ac:dyDescent="0.2">
      <c r="A220" t="s">
        <v>378</v>
      </c>
      <c r="B220" t="s">
        <v>157</v>
      </c>
      <c r="C220">
        <v>5.7893803119659424</v>
      </c>
      <c r="D220">
        <v>300</v>
      </c>
      <c r="E220">
        <v>250</v>
      </c>
      <c r="F220">
        <v>8</v>
      </c>
      <c r="G220">
        <v>7</v>
      </c>
      <c r="H220">
        <v>0.6470588235294118</v>
      </c>
      <c r="I220">
        <v>1</v>
      </c>
      <c r="J220">
        <v>1.8235294117647061</v>
      </c>
      <c r="K220">
        <v>1.8235294117647061</v>
      </c>
      <c r="L220">
        <v>4.8571428571428568</v>
      </c>
      <c r="M220">
        <v>6</v>
      </c>
      <c r="N220">
        <v>1</v>
      </c>
      <c r="O220">
        <v>3</v>
      </c>
      <c r="P220">
        <v>62</v>
      </c>
      <c r="Q220">
        <v>34</v>
      </c>
      <c r="R220">
        <v>7</v>
      </c>
      <c r="S220">
        <v>8</v>
      </c>
      <c r="T220">
        <v>210</v>
      </c>
      <c r="U220">
        <v>38</v>
      </c>
      <c r="V220">
        <v>22</v>
      </c>
      <c r="W220">
        <v>62</v>
      </c>
    </row>
    <row r="221" spans="1:23" x14ac:dyDescent="0.2">
      <c r="A221" t="s">
        <v>379</v>
      </c>
      <c r="B221" t="s">
        <v>158</v>
      </c>
      <c r="C221" t="s">
        <v>159</v>
      </c>
      <c r="D221" t="s">
        <v>159</v>
      </c>
      <c r="E221" t="s">
        <v>159</v>
      </c>
      <c r="F221" t="s">
        <v>159</v>
      </c>
      <c r="G221" t="s">
        <v>159</v>
      </c>
      <c r="H221" t="s">
        <v>159</v>
      </c>
      <c r="I221" t="s">
        <v>159</v>
      </c>
      <c r="J221" t="s">
        <v>159</v>
      </c>
      <c r="K221" t="s">
        <v>159</v>
      </c>
      <c r="L221" t="s">
        <v>159</v>
      </c>
      <c r="M221" t="s">
        <v>159</v>
      </c>
      <c r="N221" t="s">
        <v>159</v>
      </c>
      <c r="O221" t="s">
        <v>159</v>
      </c>
      <c r="P221" t="s">
        <v>159</v>
      </c>
      <c r="Q221" t="s">
        <v>159</v>
      </c>
      <c r="R221" t="s">
        <v>159</v>
      </c>
      <c r="S221" t="s">
        <v>159</v>
      </c>
      <c r="T221" t="s">
        <v>159</v>
      </c>
      <c r="U221" t="s">
        <v>159</v>
      </c>
      <c r="V221" t="s">
        <v>159</v>
      </c>
      <c r="W221" t="s">
        <v>159</v>
      </c>
    </row>
    <row r="222" spans="1:23" x14ac:dyDescent="0.2">
      <c r="A222" t="s">
        <v>380</v>
      </c>
      <c r="B222" t="s">
        <v>157</v>
      </c>
      <c r="C222">
        <v>1675.6976587772369</v>
      </c>
      <c r="D222">
        <v>2199</v>
      </c>
      <c r="E222">
        <v>12651</v>
      </c>
      <c r="F222">
        <v>9</v>
      </c>
      <c r="G222">
        <v>8</v>
      </c>
      <c r="H222">
        <v>11.95</v>
      </c>
      <c r="I222">
        <v>1.597560975609756</v>
      </c>
      <c r="J222">
        <v>2.1833333333333331</v>
      </c>
      <c r="K222">
        <v>1.3666666666666669</v>
      </c>
      <c r="L222">
        <v>7.5</v>
      </c>
      <c r="M222">
        <v>332</v>
      </c>
      <c r="N222">
        <v>4</v>
      </c>
      <c r="O222">
        <v>3</v>
      </c>
      <c r="P222">
        <v>82</v>
      </c>
      <c r="Q222">
        <v>60</v>
      </c>
      <c r="R222">
        <v>8</v>
      </c>
      <c r="S222">
        <v>15</v>
      </c>
      <c r="T222">
        <v>769</v>
      </c>
      <c r="U222">
        <v>95</v>
      </c>
      <c r="V222">
        <v>717</v>
      </c>
      <c r="W222">
        <v>131</v>
      </c>
    </row>
    <row r="223" spans="1:23" x14ac:dyDescent="0.2">
      <c r="A223" t="s">
        <v>381</v>
      </c>
      <c r="B223" t="s">
        <v>157</v>
      </c>
      <c r="C223">
        <v>272.32861113548279</v>
      </c>
      <c r="D223">
        <v>1517</v>
      </c>
      <c r="E223">
        <v>2529</v>
      </c>
      <c r="F223">
        <v>10</v>
      </c>
      <c r="G223">
        <v>9</v>
      </c>
      <c r="H223">
        <v>0.67924528301886788</v>
      </c>
      <c r="I223">
        <v>1</v>
      </c>
      <c r="J223">
        <v>1.4905660377358489</v>
      </c>
      <c r="K223">
        <v>1.4905660377358489</v>
      </c>
      <c r="L223">
        <v>5.8888888888888893</v>
      </c>
      <c r="M223">
        <v>8</v>
      </c>
      <c r="N223">
        <v>1</v>
      </c>
      <c r="O223">
        <v>2</v>
      </c>
      <c r="P223">
        <v>79</v>
      </c>
      <c r="Q223">
        <v>53</v>
      </c>
      <c r="R223">
        <v>9</v>
      </c>
      <c r="S223">
        <v>10</v>
      </c>
      <c r="T223">
        <v>451</v>
      </c>
      <c r="U223">
        <v>74</v>
      </c>
      <c r="V223">
        <v>36</v>
      </c>
      <c r="W223">
        <v>79</v>
      </c>
    </row>
    <row r="224" spans="1:23" x14ac:dyDescent="0.2">
      <c r="A224" t="s">
        <v>382</v>
      </c>
      <c r="B224" t="s">
        <v>157</v>
      </c>
      <c r="C224">
        <v>413.25997972488398</v>
      </c>
      <c r="D224">
        <v>1517</v>
      </c>
      <c r="E224">
        <v>2525</v>
      </c>
      <c r="F224">
        <v>10</v>
      </c>
      <c r="G224">
        <v>9</v>
      </c>
      <c r="H224">
        <v>0.67924528301886788</v>
      </c>
      <c r="I224">
        <v>1</v>
      </c>
      <c r="J224">
        <v>1.4905660377358489</v>
      </c>
      <c r="K224">
        <v>1.4905660377358489</v>
      </c>
      <c r="L224">
        <v>5.8888888888888893</v>
      </c>
      <c r="M224">
        <v>8</v>
      </c>
      <c r="N224">
        <v>1</v>
      </c>
      <c r="O224">
        <v>2</v>
      </c>
      <c r="P224">
        <v>79</v>
      </c>
      <c r="Q224">
        <v>53</v>
      </c>
      <c r="R224">
        <v>9</v>
      </c>
      <c r="S224">
        <v>10</v>
      </c>
      <c r="T224">
        <v>451</v>
      </c>
      <c r="U224">
        <v>74</v>
      </c>
      <c r="V224">
        <v>36</v>
      </c>
      <c r="W224">
        <v>79</v>
      </c>
    </row>
    <row r="225" spans="1:23" x14ac:dyDescent="0.2">
      <c r="A225" t="s">
        <v>383</v>
      </c>
      <c r="B225" t="s">
        <v>157</v>
      </c>
      <c r="C225">
        <v>106.6157484054565</v>
      </c>
      <c r="D225">
        <v>529</v>
      </c>
      <c r="E225">
        <v>750</v>
      </c>
      <c r="F225">
        <v>9</v>
      </c>
      <c r="G225">
        <v>8</v>
      </c>
      <c r="H225">
        <v>0.67441860465116277</v>
      </c>
      <c r="I225">
        <v>1</v>
      </c>
      <c r="J225">
        <v>1.7906976744186049</v>
      </c>
      <c r="K225">
        <v>1.7906976744186049</v>
      </c>
      <c r="L225">
        <v>5.375</v>
      </c>
      <c r="M225">
        <v>7</v>
      </c>
      <c r="N225">
        <v>1</v>
      </c>
      <c r="O225">
        <v>3</v>
      </c>
      <c r="P225">
        <v>77</v>
      </c>
      <c r="Q225">
        <v>43</v>
      </c>
      <c r="R225">
        <v>8</v>
      </c>
      <c r="S225">
        <v>9</v>
      </c>
      <c r="T225">
        <v>310</v>
      </c>
      <c r="U225">
        <v>51</v>
      </c>
      <c r="V225">
        <v>29</v>
      </c>
      <c r="W225">
        <v>77</v>
      </c>
    </row>
    <row r="226" spans="1:23" x14ac:dyDescent="0.2">
      <c r="A226" t="s">
        <v>384</v>
      </c>
      <c r="B226" t="s">
        <v>157</v>
      </c>
      <c r="C226">
        <v>23.119124412536621</v>
      </c>
      <c r="D226">
        <v>368</v>
      </c>
      <c r="E226">
        <v>380</v>
      </c>
      <c r="F226">
        <v>10</v>
      </c>
      <c r="G226">
        <v>9</v>
      </c>
      <c r="H226">
        <v>9.6393442622950793</v>
      </c>
      <c r="I226">
        <v>1.008403361344538</v>
      </c>
      <c r="J226">
        <v>1.9672131147540981</v>
      </c>
      <c r="K226">
        <v>1.9508196721311479</v>
      </c>
      <c r="L226">
        <v>6.7777777777777777</v>
      </c>
      <c r="M226">
        <v>100</v>
      </c>
      <c r="N226">
        <v>2</v>
      </c>
      <c r="O226">
        <v>4</v>
      </c>
      <c r="P226">
        <v>119</v>
      </c>
      <c r="Q226">
        <v>61</v>
      </c>
      <c r="R226">
        <v>9</v>
      </c>
      <c r="S226">
        <v>19</v>
      </c>
      <c r="T226">
        <v>1039</v>
      </c>
      <c r="U226">
        <v>147</v>
      </c>
      <c r="V226">
        <v>588</v>
      </c>
      <c r="W226">
        <v>120</v>
      </c>
    </row>
    <row r="227" spans="1:23" x14ac:dyDescent="0.2">
      <c r="A227" t="s">
        <v>385</v>
      </c>
      <c r="B227" t="s">
        <v>157</v>
      </c>
      <c r="C227">
        <v>1110.996921777725</v>
      </c>
      <c r="D227">
        <v>2638</v>
      </c>
      <c r="E227">
        <v>4261</v>
      </c>
      <c r="F227">
        <v>10</v>
      </c>
      <c r="G227">
        <v>9</v>
      </c>
      <c r="H227">
        <v>58996447813524.344</v>
      </c>
      <c r="I227">
        <v>1.028169014084507</v>
      </c>
      <c r="J227">
        <v>2.1262135922330101</v>
      </c>
      <c r="K227">
        <v>2.0679611650485441</v>
      </c>
      <c r="L227">
        <v>11.444444444444439</v>
      </c>
      <c r="M227">
        <v>1212982689600000</v>
      </c>
      <c r="N227">
        <v>2</v>
      </c>
      <c r="O227">
        <v>4</v>
      </c>
      <c r="P227">
        <v>213</v>
      </c>
      <c r="Q227">
        <v>103</v>
      </c>
      <c r="R227">
        <v>9</v>
      </c>
      <c r="S227">
        <v>19</v>
      </c>
      <c r="T227">
        <v>1738</v>
      </c>
      <c r="U227">
        <v>144</v>
      </c>
      <c r="V227">
        <v>6076634124793007</v>
      </c>
      <c r="W227">
        <v>219</v>
      </c>
    </row>
    <row r="228" spans="1:23" x14ac:dyDescent="0.2">
      <c r="A228" t="s">
        <v>386</v>
      </c>
      <c r="B228" t="s">
        <v>157</v>
      </c>
      <c r="C228">
        <v>2847.645610570908</v>
      </c>
      <c r="D228">
        <v>2034</v>
      </c>
      <c r="E228">
        <v>3417</v>
      </c>
      <c r="F228">
        <v>10</v>
      </c>
      <c r="G228">
        <v>9</v>
      </c>
      <c r="H228">
        <v>57275181875660.273</v>
      </c>
      <c r="I228">
        <v>1.029126213592233</v>
      </c>
      <c r="J228">
        <v>2.058252427184466</v>
      </c>
      <c r="K228">
        <v>2</v>
      </c>
      <c r="L228">
        <v>11.444444444444439</v>
      </c>
      <c r="M228">
        <v>1212982689600000</v>
      </c>
      <c r="N228">
        <v>2</v>
      </c>
      <c r="O228">
        <v>4</v>
      </c>
      <c r="P228">
        <v>206</v>
      </c>
      <c r="Q228">
        <v>103</v>
      </c>
      <c r="R228">
        <v>9</v>
      </c>
      <c r="S228">
        <v>19</v>
      </c>
      <c r="T228">
        <v>1745</v>
      </c>
      <c r="U228">
        <v>144</v>
      </c>
      <c r="V228">
        <v>5899343733193007</v>
      </c>
      <c r="W228">
        <v>212</v>
      </c>
    </row>
    <row r="229" spans="1:23" x14ac:dyDescent="0.2">
      <c r="A229" t="s">
        <v>387</v>
      </c>
      <c r="B229" t="s">
        <v>158</v>
      </c>
      <c r="C229" t="s">
        <v>159</v>
      </c>
      <c r="D229" t="s">
        <v>159</v>
      </c>
      <c r="E229" t="s">
        <v>159</v>
      </c>
      <c r="F229" t="s">
        <v>159</v>
      </c>
      <c r="G229" t="s">
        <v>159</v>
      </c>
      <c r="H229" t="s">
        <v>159</v>
      </c>
      <c r="I229" t="s">
        <v>159</v>
      </c>
      <c r="J229" t="s">
        <v>159</v>
      </c>
      <c r="K229" t="s">
        <v>159</v>
      </c>
      <c r="L229" t="s">
        <v>159</v>
      </c>
      <c r="M229" t="s">
        <v>159</v>
      </c>
      <c r="N229" t="s">
        <v>159</v>
      </c>
      <c r="O229" t="s">
        <v>159</v>
      </c>
      <c r="P229" t="s">
        <v>159</v>
      </c>
      <c r="Q229" t="s">
        <v>159</v>
      </c>
      <c r="R229" t="s">
        <v>159</v>
      </c>
      <c r="S229" t="s">
        <v>159</v>
      </c>
      <c r="T229" t="s">
        <v>159</v>
      </c>
      <c r="U229" t="s">
        <v>159</v>
      </c>
      <c r="V229" t="s">
        <v>159</v>
      </c>
      <c r="W229" t="s">
        <v>159</v>
      </c>
    </row>
    <row r="230" spans="1:23" x14ac:dyDescent="0.2">
      <c r="A230" t="s">
        <v>388</v>
      </c>
      <c r="B230" t="s">
        <v>157</v>
      </c>
      <c r="C230">
        <v>59.373242616653442</v>
      </c>
      <c r="D230">
        <v>789</v>
      </c>
      <c r="E230">
        <v>1090</v>
      </c>
      <c r="F230">
        <v>9</v>
      </c>
      <c r="G230">
        <v>8</v>
      </c>
      <c r="H230">
        <v>0.67441860465116277</v>
      </c>
      <c r="I230">
        <v>1</v>
      </c>
      <c r="J230">
        <v>1.930232558139535</v>
      </c>
      <c r="K230">
        <v>1.930232558139535</v>
      </c>
      <c r="L230">
        <v>5.375</v>
      </c>
      <c r="M230">
        <v>7</v>
      </c>
      <c r="N230">
        <v>1</v>
      </c>
      <c r="O230">
        <v>3</v>
      </c>
      <c r="P230">
        <v>83</v>
      </c>
      <c r="Q230">
        <v>43</v>
      </c>
      <c r="R230">
        <v>8</v>
      </c>
      <c r="S230">
        <v>9</v>
      </c>
      <c r="T230">
        <v>304</v>
      </c>
      <c r="U230">
        <v>51</v>
      </c>
      <c r="V230">
        <v>29</v>
      </c>
      <c r="W230">
        <v>83</v>
      </c>
    </row>
    <row r="231" spans="1:23" x14ac:dyDescent="0.2">
      <c r="A231" t="s">
        <v>389</v>
      </c>
      <c r="B231" t="s">
        <v>157</v>
      </c>
      <c r="C231">
        <v>16.705480098724369</v>
      </c>
      <c r="D231">
        <v>652</v>
      </c>
      <c r="E231">
        <v>1152</v>
      </c>
      <c r="F231">
        <v>9</v>
      </c>
      <c r="G231">
        <v>8</v>
      </c>
      <c r="H231">
        <v>0.65116279069767447</v>
      </c>
      <c r="I231">
        <v>1</v>
      </c>
      <c r="J231">
        <v>1.441860465116279</v>
      </c>
      <c r="K231">
        <v>1.441860465116279</v>
      </c>
      <c r="L231">
        <v>5.375</v>
      </c>
      <c r="M231">
        <v>7</v>
      </c>
      <c r="N231">
        <v>1</v>
      </c>
      <c r="O231">
        <v>2</v>
      </c>
      <c r="P231">
        <v>62</v>
      </c>
      <c r="Q231">
        <v>43</v>
      </c>
      <c r="R231">
        <v>8</v>
      </c>
      <c r="S231">
        <v>9</v>
      </c>
      <c r="T231">
        <v>325</v>
      </c>
      <c r="U231">
        <v>58</v>
      </c>
      <c r="V231">
        <v>28</v>
      </c>
      <c r="W231">
        <v>62</v>
      </c>
    </row>
    <row r="232" spans="1:23" x14ac:dyDescent="0.2">
      <c r="A232" t="s">
        <v>390</v>
      </c>
      <c r="B232" t="s">
        <v>157</v>
      </c>
      <c r="C232">
        <v>467.05113291740417</v>
      </c>
      <c r="D232">
        <v>1571</v>
      </c>
      <c r="E232">
        <v>5821</v>
      </c>
      <c r="F232">
        <v>9</v>
      </c>
      <c r="G232">
        <v>8</v>
      </c>
      <c r="H232">
        <v>6.5166666666666666</v>
      </c>
      <c r="I232">
        <v>1.6049382716049381</v>
      </c>
      <c r="J232">
        <v>2.166666666666667</v>
      </c>
      <c r="K232">
        <v>1.35</v>
      </c>
      <c r="L232">
        <v>7.5</v>
      </c>
      <c r="M232">
        <v>36</v>
      </c>
      <c r="N232">
        <v>4</v>
      </c>
      <c r="O232">
        <v>4</v>
      </c>
      <c r="P232">
        <v>81</v>
      </c>
      <c r="Q232">
        <v>60</v>
      </c>
      <c r="R232">
        <v>8</v>
      </c>
      <c r="S232">
        <v>15</v>
      </c>
      <c r="T232">
        <v>770</v>
      </c>
      <c r="U232">
        <v>95</v>
      </c>
      <c r="V232">
        <v>391</v>
      </c>
      <c r="W232">
        <v>130</v>
      </c>
    </row>
    <row r="233" spans="1:23" x14ac:dyDescent="0.2">
      <c r="A233" t="s">
        <v>391</v>
      </c>
      <c r="B233" t="s">
        <v>157</v>
      </c>
      <c r="C233">
        <v>283.28628277778631</v>
      </c>
      <c r="D233">
        <v>1829</v>
      </c>
      <c r="E233">
        <v>4762</v>
      </c>
      <c r="F233">
        <v>7</v>
      </c>
      <c r="G233">
        <v>7</v>
      </c>
      <c r="H233">
        <v>6.6909090909090896</v>
      </c>
      <c r="I233">
        <v>1.708333333333333</v>
      </c>
      <c r="J233">
        <v>2.2363636363636359</v>
      </c>
      <c r="K233">
        <v>1.3090909090909091</v>
      </c>
      <c r="L233">
        <v>7.8571428571428568</v>
      </c>
      <c r="M233">
        <v>36</v>
      </c>
      <c r="N233">
        <v>4</v>
      </c>
      <c r="O233">
        <v>4</v>
      </c>
      <c r="P233">
        <v>72</v>
      </c>
      <c r="Q233">
        <v>55</v>
      </c>
      <c r="R233">
        <v>7</v>
      </c>
      <c r="S233">
        <v>14</v>
      </c>
      <c r="T233">
        <v>647</v>
      </c>
      <c r="U233">
        <v>74</v>
      </c>
      <c r="V233">
        <v>368</v>
      </c>
      <c r="W233">
        <v>123</v>
      </c>
    </row>
    <row r="234" spans="1:23" x14ac:dyDescent="0.2">
      <c r="A234" t="s">
        <v>392</v>
      </c>
      <c r="B234" t="s">
        <v>158</v>
      </c>
      <c r="C234" t="s">
        <v>159</v>
      </c>
      <c r="D234" t="s">
        <v>159</v>
      </c>
      <c r="E234" t="s">
        <v>159</v>
      </c>
      <c r="F234" t="s">
        <v>159</v>
      </c>
      <c r="G234" t="s">
        <v>159</v>
      </c>
      <c r="H234" t="s">
        <v>159</v>
      </c>
      <c r="I234" t="s">
        <v>159</v>
      </c>
      <c r="J234" t="s">
        <v>159</v>
      </c>
      <c r="K234" t="s">
        <v>159</v>
      </c>
      <c r="L234" t="s">
        <v>159</v>
      </c>
      <c r="M234" t="s">
        <v>159</v>
      </c>
      <c r="N234" t="s">
        <v>159</v>
      </c>
      <c r="O234" t="s">
        <v>159</v>
      </c>
      <c r="P234" t="s">
        <v>159</v>
      </c>
      <c r="Q234" t="s">
        <v>159</v>
      </c>
      <c r="R234" t="s">
        <v>159</v>
      </c>
      <c r="S234" t="s">
        <v>159</v>
      </c>
      <c r="T234" t="s">
        <v>159</v>
      </c>
      <c r="U234" t="s">
        <v>159</v>
      </c>
      <c r="V234" t="s">
        <v>159</v>
      </c>
      <c r="W234" t="s">
        <v>159</v>
      </c>
    </row>
    <row r="235" spans="1:23" x14ac:dyDescent="0.2">
      <c r="A235" t="s">
        <v>393</v>
      </c>
      <c r="B235" t="s">
        <v>157</v>
      </c>
      <c r="C235">
        <v>16.070286273956299</v>
      </c>
      <c r="D235">
        <v>524</v>
      </c>
      <c r="E235">
        <v>373</v>
      </c>
      <c r="F235">
        <v>11</v>
      </c>
      <c r="G235">
        <v>10</v>
      </c>
      <c r="H235">
        <v>67.5</v>
      </c>
      <c r="I235">
        <v>1</v>
      </c>
      <c r="J235">
        <v>1.5249999999999999</v>
      </c>
      <c r="K235">
        <v>1.5249999999999999</v>
      </c>
      <c r="L235">
        <v>4</v>
      </c>
      <c r="M235">
        <v>595</v>
      </c>
      <c r="N235">
        <v>1</v>
      </c>
      <c r="O235">
        <v>2</v>
      </c>
      <c r="P235">
        <v>61</v>
      </c>
      <c r="Q235">
        <v>40</v>
      </c>
      <c r="R235">
        <v>10</v>
      </c>
      <c r="S235">
        <v>11</v>
      </c>
      <c r="T235">
        <v>379</v>
      </c>
      <c r="U235">
        <v>92</v>
      </c>
      <c r="V235">
        <v>2700</v>
      </c>
      <c r="W235">
        <v>61</v>
      </c>
    </row>
    <row r="236" spans="1:23" x14ac:dyDescent="0.2">
      <c r="A236" t="s">
        <v>394</v>
      </c>
      <c r="B236" t="s">
        <v>157</v>
      </c>
      <c r="C236">
        <v>433.57367634773249</v>
      </c>
      <c r="D236">
        <v>2002</v>
      </c>
      <c r="E236">
        <v>4708</v>
      </c>
      <c r="F236">
        <v>10</v>
      </c>
      <c r="G236">
        <v>9</v>
      </c>
      <c r="H236">
        <v>0.67924528301886788</v>
      </c>
      <c r="I236">
        <v>1</v>
      </c>
      <c r="J236">
        <v>1.4905660377358489</v>
      </c>
      <c r="K236">
        <v>1.4905660377358489</v>
      </c>
      <c r="L236">
        <v>5.8888888888888893</v>
      </c>
      <c r="M236">
        <v>8</v>
      </c>
      <c r="N236">
        <v>1</v>
      </c>
      <c r="O236">
        <v>2</v>
      </c>
      <c r="P236">
        <v>79</v>
      </c>
      <c r="Q236">
        <v>53</v>
      </c>
      <c r="R236">
        <v>9</v>
      </c>
      <c r="S236">
        <v>10</v>
      </c>
      <c r="T236">
        <v>451</v>
      </c>
      <c r="U236">
        <v>74</v>
      </c>
      <c r="V236">
        <v>36</v>
      </c>
      <c r="W236">
        <v>79</v>
      </c>
    </row>
    <row r="237" spans="1:23" x14ac:dyDescent="0.2">
      <c r="A237" t="s">
        <v>395</v>
      </c>
      <c r="B237" t="s">
        <v>157</v>
      </c>
      <c r="C237">
        <v>35.958197593688958</v>
      </c>
      <c r="D237">
        <v>535</v>
      </c>
      <c r="E237">
        <v>408</v>
      </c>
      <c r="F237">
        <v>11</v>
      </c>
      <c r="G237">
        <v>10</v>
      </c>
      <c r="H237">
        <v>150.92500000000001</v>
      </c>
      <c r="I237">
        <v>1</v>
      </c>
      <c r="J237">
        <v>1.5249999999999999</v>
      </c>
      <c r="K237">
        <v>1.5249999999999999</v>
      </c>
      <c r="L237">
        <v>4</v>
      </c>
      <c r="M237">
        <v>855</v>
      </c>
      <c r="N237">
        <v>1</v>
      </c>
      <c r="O237">
        <v>2</v>
      </c>
      <c r="P237">
        <v>61</v>
      </c>
      <c r="Q237">
        <v>40</v>
      </c>
      <c r="R237">
        <v>10</v>
      </c>
      <c r="S237">
        <v>11</v>
      </c>
      <c r="T237">
        <v>379</v>
      </c>
      <c r="U237">
        <v>92</v>
      </c>
      <c r="V237">
        <v>6037</v>
      </c>
      <c r="W237">
        <v>61</v>
      </c>
    </row>
    <row r="238" spans="1:23" x14ac:dyDescent="0.2">
      <c r="A238" t="s">
        <v>396</v>
      </c>
      <c r="B238" t="s">
        <v>157</v>
      </c>
      <c r="C238">
        <v>2.2146775722503662</v>
      </c>
      <c r="D238">
        <v>276</v>
      </c>
      <c r="E238">
        <v>594</v>
      </c>
      <c r="F238">
        <v>11</v>
      </c>
      <c r="G238">
        <v>9</v>
      </c>
      <c r="H238">
        <v>2.7162162162162158</v>
      </c>
      <c r="I238">
        <v>1</v>
      </c>
      <c r="J238">
        <v>1.459459459459459</v>
      </c>
      <c r="K238">
        <v>1.459459459459459</v>
      </c>
      <c r="L238">
        <v>8.2222222222222214</v>
      </c>
      <c r="M238">
        <v>4</v>
      </c>
      <c r="N238">
        <v>1</v>
      </c>
      <c r="O238">
        <v>2</v>
      </c>
      <c r="P238">
        <v>108</v>
      </c>
      <c r="Q238">
        <v>74</v>
      </c>
      <c r="R238">
        <v>9</v>
      </c>
      <c r="S238">
        <v>11</v>
      </c>
      <c r="T238">
        <v>706</v>
      </c>
      <c r="U238">
        <v>83</v>
      </c>
      <c r="V238">
        <v>201</v>
      </c>
      <c r="W238">
        <v>108</v>
      </c>
    </row>
    <row r="239" spans="1:23" x14ac:dyDescent="0.2">
      <c r="A239" t="s">
        <v>397</v>
      </c>
      <c r="B239" t="s">
        <v>157</v>
      </c>
      <c r="C239">
        <v>39.114272117614753</v>
      </c>
      <c r="D239">
        <v>594</v>
      </c>
      <c r="E239">
        <v>1733</v>
      </c>
      <c r="F239">
        <v>7</v>
      </c>
      <c r="G239">
        <v>7</v>
      </c>
      <c r="H239">
        <v>6.9636363636363638</v>
      </c>
      <c r="I239">
        <v>1.6710526315789469</v>
      </c>
      <c r="J239">
        <v>2.3090909090909091</v>
      </c>
      <c r="K239">
        <v>1.3818181818181821</v>
      </c>
      <c r="L239">
        <v>7.8571428571428568</v>
      </c>
      <c r="M239">
        <v>36</v>
      </c>
      <c r="N239">
        <v>4</v>
      </c>
      <c r="O239">
        <v>3</v>
      </c>
      <c r="P239">
        <v>76</v>
      </c>
      <c r="Q239">
        <v>55</v>
      </c>
      <c r="R239">
        <v>7</v>
      </c>
      <c r="S239">
        <v>14</v>
      </c>
      <c r="T239">
        <v>643</v>
      </c>
      <c r="U239">
        <v>74</v>
      </c>
      <c r="V239">
        <v>383</v>
      </c>
      <c r="W239">
        <v>127</v>
      </c>
    </row>
    <row r="240" spans="1:23" x14ac:dyDescent="0.2">
      <c r="A240" t="s">
        <v>398</v>
      </c>
      <c r="B240" t="s">
        <v>157</v>
      </c>
      <c r="C240">
        <v>3880.7704830169678</v>
      </c>
      <c r="D240">
        <v>5768</v>
      </c>
      <c r="E240">
        <v>27608</v>
      </c>
      <c r="F240">
        <v>13</v>
      </c>
      <c r="G240">
        <v>12</v>
      </c>
      <c r="H240">
        <v>5462.347826086957</v>
      </c>
      <c r="I240">
        <v>1.214285714285714</v>
      </c>
      <c r="J240">
        <v>1.4782608695652171</v>
      </c>
      <c r="K240">
        <v>1.2173913043478259</v>
      </c>
      <c r="L240">
        <v>3.833333333333333</v>
      </c>
      <c r="M240">
        <v>39701</v>
      </c>
      <c r="N240">
        <v>2</v>
      </c>
      <c r="O240">
        <v>3</v>
      </c>
      <c r="P240">
        <v>56</v>
      </c>
      <c r="Q240">
        <v>46</v>
      </c>
      <c r="R240">
        <v>12</v>
      </c>
      <c r="S240">
        <v>25</v>
      </c>
      <c r="T240">
        <v>1082</v>
      </c>
      <c r="U240">
        <v>276</v>
      </c>
      <c r="V240">
        <v>251268</v>
      </c>
      <c r="W240">
        <v>68</v>
      </c>
    </row>
    <row r="241" spans="1:23" x14ac:dyDescent="0.2">
      <c r="A241" t="s">
        <v>399</v>
      </c>
      <c r="B241" t="s">
        <v>157</v>
      </c>
      <c r="C241">
        <v>9.7288510799407959</v>
      </c>
      <c r="D241">
        <v>563</v>
      </c>
      <c r="E241">
        <v>904</v>
      </c>
      <c r="F241">
        <v>9</v>
      </c>
      <c r="G241">
        <v>8</v>
      </c>
      <c r="H241">
        <v>0.65116279069767447</v>
      </c>
      <c r="I241">
        <v>1</v>
      </c>
      <c r="J241">
        <v>1.441860465116279</v>
      </c>
      <c r="K241">
        <v>1.441860465116279</v>
      </c>
      <c r="L241">
        <v>5.375</v>
      </c>
      <c r="M241">
        <v>7</v>
      </c>
      <c r="N241">
        <v>1</v>
      </c>
      <c r="O241">
        <v>2</v>
      </c>
      <c r="P241">
        <v>62</v>
      </c>
      <c r="Q241">
        <v>43</v>
      </c>
      <c r="R241">
        <v>8</v>
      </c>
      <c r="S241">
        <v>9</v>
      </c>
      <c r="T241">
        <v>325</v>
      </c>
      <c r="U241">
        <v>58</v>
      </c>
      <c r="V241">
        <v>28</v>
      </c>
      <c r="W241">
        <v>62</v>
      </c>
    </row>
    <row r="242" spans="1:23" x14ac:dyDescent="0.2">
      <c r="A242" t="s">
        <v>400</v>
      </c>
      <c r="B242" t="s">
        <v>157</v>
      </c>
      <c r="C242">
        <v>3.1520671844482422</v>
      </c>
      <c r="D242">
        <v>56</v>
      </c>
      <c r="E242">
        <v>150</v>
      </c>
      <c r="F242">
        <v>6</v>
      </c>
      <c r="G242">
        <v>4</v>
      </c>
      <c r="H242">
        <v>1.470588235294118</v>
      </c>
      <c r="I242">
        <v>1.5</v>
      </c>
      <c r="J242">
        <v>2.117647058823529</v>
      </c>
      <c r="K242">
        <v>1.411764705882353</v>
      </c>
      <c r="L242">
        <v>4.25</v>
      </c>
      <c r="M242">
        <v>6</v>
      </c>
      <c r="N242">
        <v>3</v>
      </c>
      <c r="O242">
        <v>3</v>
      </c>
      <c r="P242">
        <v>24</v>
      </c>
      <c r="Q242">
        <v>17</v>
      </c>
      <c r="R242">
        <v>4</v>
      </c>
      <c r="S242">
        <v>12</v>
      </c>
      <c r="T242">
        <v>168</v>
      </c>
      <c r="U242">
        <v>35</v>
      </c>
      <c r="V242">
        <v>25</v>
      </c>
      <c r="W242">
        <v>36</v>
      </c>
    </row>
    <row r="243" spans="1:23" x14ac:dyDescent="0.2">
      <c r="A243" t="s">
        <v>401</v>
      </c>
      <c r="B243" t="s">
        <v>157</v>
      </c>
      <c r="C243">
        <v>2465.2511382102971</v>
      </c>
      <c r="D243">
        <v>1598</v>
      </c>
      <c r="E243">
        <v>4497</v>
      </c>
      <c r="F243">
        <v>10</v>
      </c>
      <c r="G243">
        <v>9</v>
      </c>
      <c r="H243">
        <v>0.67924528301886788</v>
      </c>
      <c r="I243">
        <v>1</v>
      </c>
      <c r="J243">
        <v>1.4905660377358489</v>
      </c>
      <c r="K243">
        <v>1.4905660377358489</v>
      </c>
      <c r="L243">
        <v>5.8888888888888893</v>
      </c>
      <c r="M243">
        <v>8</v>
      </c>
      <c r="N243">
        <v>1</v>
      </c>
      <c r="O243">
        <v>2</v>
      </c>
      <c r="P243">
        <v>79</v>
      </c>
      <c r="Q243">
        <v>53</v>
      </c>
      <c r="R243">
        <v>9</v>
      </c>
      <c r="S243">
        <v>10</v>
      </c>
      <c r="T243">
        <v>451</v>
      </c>
      <c r="U243">
        <v>74</v>
      </c>
      <c r="V243">
        <v>36</v>
      </c>
      <c r="W243">
        <v>79</v>
      </c>
    </row>
    <row r="244" spans="1:23" x14ac:dyDescent="0.2">
      <c r="A244" t="s">
        <v>402</v>
      </c>
      <c r="B244" t="s">
        <v>157</v>
      </c>
      <c r="C244">
        <v>11.619858264923099</v>
      </c>
      <c r="D244">
        <v>278</v>
      </c>
      <c r="E244">
        <v>416</v>
      </c>
      <c r="F244">
        <v>9</v>
      </c>
      <c r="G244">
        <v>8</v>
      </c>
      <c r="H244">
        <v>51.431372549019613</v>
      </c>
      <c r="I244">
        <v>1.0543478260869561</v>
      </c>
      <c r="J244">
        <v>1.9019607843137261</v>
      </c>
      <c r="K244">
        <v>1.803921568627451</v>
      </c>
      <c r="L244">
        <v>6.375</v>
      </c>
      <c r="M244">
        <v>284</v>
      </c>
      <c r="N244">
        <v>2</v>
      </c>
      <c r="O244">
        <v>3</v>
      </c>
      <c r="P244">
        <v>92</v>
      </c>
      <c r="Q244">
        <v>51</v>
      </c>
      <c r="R244">
        <v>8</v>
      </c>
      <c r="S244">
        <v>10</v>
      </c>
      <c r="T244">
        <v>413</v>
      </c>
      <c r="U244">
        <v>62</v>
      </c>
      <c r="V244">
        <v>2623</v>
      </c>
      <c r="W244">
        <v>97</v>
      </c>
    </row>
    <row r="245" spans="1:23" x14ac:dyDescent="0.2">
      <c r="A245" t="s">
        <v>403</v>
      </c>
      <c r="B245" t="s">
        <v>158</v>
      </c>
      <c r="C245" t="s">
        <v>159</v>
      </c>
      <c r="D245" t="s">
        <v>159</v>
      </c>
      <c r="E245" t="s">
        <v>159</v>
      </c>
      <c r="F245" t="s">
        <v>159</v>
      </c>
      <c r="G245" t="s">
        <v>159</v>
      </c>
      <c r="H245" t="s">
        <v>159</v>
      </c>
      <c r="I245" t="s">
        <v>159</v>
      </c>
      <c r="J245" t="s">
        <v>159</v>
      </c>
      <c r="K245" t="s">
        <v>159</v>
      </c>
      <c r="L245" t="s">
        <v>159</v>
      </c>
      <c r="M245" t="s">
        <v>159</v>
      </c>
      <c r="N245" t="s">
        <v>159</v>
      </c>
      <c r="O245" t="s">
        <v>159</v>
      </c>
      <c r="P245" t="s">
        <v>159</v>
      </c>
      <c r="Q245" t="s">
        <v>159</v>
      </c>
      <c r="R245" t="s">
        <v>159</v>
      </c>
      <c r="S245" t="s">
        <v>159</v>
      </c>
      <c r="T245" t="s">
        <v>159</v>
      </c>
      <c r="U245" t="s">
        <v>159</v>
      </c>
      <c r="V245" t="s">
        <v>159</v>
      </c>
      <c r="W245" t="s">
        <v>159</v>
      </c>
    </row>
    <row r="246" spans="1:23" x14ac:dyDescent="0.2">
      <c r="A246" t="s">
        <v>404</v>
      </c>
      <c r="B246" t="s">
        <v>157</v>
      </c>
      <c r="C246">
        <v>7.0976269245147714</v>
      </c>
      <c r="D246">
        <v>11591</v>
      </c>
      <c r="E246">
        <v>23949</v>
      </c>
      <c r="F246">
        <v>17</v>
      </c>
      <c r="G246">
        <v>16</v>
      </c>
      <c r="H246">
        <v>0</v>
      </c>
      <c r="I246">
        <v>1.032520325203252</v>
      </c>
      <c r="J246">
        <v>1.984375</v>
      </c>
      <c r="K246">
        <v>1.921875</v>
      </c>
      <c r="L246">
        <v>4</v>
      </c>
      <c r="M246">
        <v>0</v>
      </c>
      <c r="N246">
        <v>2</v>
      </c>
      <c r="O246">
        <v>2</v>
      </c>
      <c r="P246">
        <v>123</v>
      </c>
      <c r="Q246">
        <v>64</v>
      </c>
      <c r="R246">
        <v>16</v>
      </c>
      <c r="S246">
        <v>21</v>
      </c>
      <c r="T246">
        <v>1217</v>
      </c>
      <c r="U246">
        <v>304</v>
      </c>
      <c r="V246">
        <v>0</v>
      </c>
      <c r="W246">
        <v>127</v>
      </c>
    </row>
    <row r="247" spans="1:23" x14ac:dyDescent="0.2">
      <c r="A247" t="s">
        <v>405</v>
      </c>
      <c r="B247" t="s">
        <v>157</v>
      </c>
      <c r="C247">
        <v>22.694793939590461</v>
      </c>
      <c r="D247">
        <v>277</v>
      </c>
      <c r="E247">
        <v>393</v>
      </c>
      <c r="F247">
        <v>8</v>
      </c>
      <c r="G247">
        <v>7</v>
      </c>
      <c r="H247">
        <v>1.5106382978723401</v>
      </c>
      <c r="I247">
        <v>1.130434782608696</v>
      </c>
      <c r="J247">
        <v>1.6595744680851059</v>
      </c>
      <c r="K247">
        <v>1.468085106382979</v>
      </c>
      <c r="L247">
        <v>6.7142857142857144</v>
      </c>
      <c r="M247">
        <v>2</v>
      </c>
      <c r="N247">
        <v>2</v>
      </c>
      <c r="O247">
        <v>2</v>
      </c>
      <c r="P247">
        <v>69</v>
      </c>
      <c r="Q247">
        <v>47</v>
      </c>
      <c r="R247">
        <v>7</v>
      </c>
      <c r="S247">
        <v>15</v>
      </c>
      <c r="T247">
        <v>627</v>
      </c>
      <c r="U247">
        <v>92</v>
      </c>
      <c r="V247">
        <v>71</v>
      </c>
      <c r="W247">
        <v>78</v>
      </c>
    </row>
    <row r="248" spans="1:23" x14ac:dyDescent="0.2">
      <c r="A248" t="s">
        <v>406</v>
      </c>
      <c r="B248" t="s">
        <v>157</v>
      </c>
      <c r="C248">
        <v>15.285168886184691</v>
      </c>
      <c r="D248">
        <v>12686</v>
      </c>
      <c r="E248">
        <v>27985</v>
      </c>
      <c r="F248">
        <v>17</v>
      </c>
      <c r="G248">
        <v>16</v>
      </c>
      <c r="H248">
        <v>0</v>
      </c>
      <c r="I248">
        <v>1.032520325203252</v>
      </c>
      <c r="J248">
        <v>1.984375</v>
      </c>
      <c r="K248">
        <v>1.921875</v>
      </c>
      <c r="L248">
        <v>4</v>
      </c>
      <c r="M248">
        <v>0</v>
      </c>
      <c r="N248">
        <v>2</v>
      </c>
      <c r="O248">
        <v>2</v>
      </c>
      <c r="P248">
        <v>123</v>
      </c>
      <c r="Q248">
        <v>64</v>
      </c>
      <c r="R248">
        <v>16</v>
      </c>
      <c r="S248">
        <v>21</v>
      </c>
      <c r="T248">
        <v>1217</v>
      </c>
      <c r="U248">
        <v>304</v>
      </c>
      <c r="V248">
        <v>0</v>
      </c>
      <c r="W248">
        <v>127</v>
      </c>
    </row>
    <row r="249" spans="1:23" x14ac:dyDescent="0.2">
      <c r="A249" t="s">
        <v>407</v>
      </c>
      <c r="B249" t="s">
        <v>157</v>
      </c>
      <c r="C249">
        <v>12.157107830047609</v>
      </c>
      <c r="D249">
        <v>12992</v>
      </c>
      <c r="E249">
        <v>33229</v>
      </c>
      <c r="F249">
        <v>17</v>
      </c>
      <c r="G249">
        <v>16</v>
      </c>
      <c r="H249">
        <v>0</v>
      </c>
      <c r="I249">
        <v>1.032520325203252</v>
      </c>
      <c r="J249">
        <v>1.984375</v>
      </c>
      <c r="K249">
        <v>1.921875</v>
      </c>
      <c r="L249">
        <v>4</v>
      </c>
      <c r="M249">
        <v>0</v>
      </c>
      <c r="N249">
        <v>2</v>
      </c>
      <c r="O249">
        <v>2</v>
      </c>
      <c r="P249">
        <v>123</v>
      </c>
      <c r="Q249">
        <v>64</v>
      </c>
      <c r="R249">
        <v>16</v>
      </c>
      <c r="S249">
        <v>21</v>
      </c>
      <c r="T249">
        <v>1217</v>
      </c>
      <c r="U249">
        <v>304</v>
      </c>
      <c r="V249">
        <v>0</v>
      </c>
      <c r="W249">
        <v>127</v>
      </c>
    </row>
    <row r="250" spans="1:23" x14ac:dyDescent="0.2">
      <c r="A250" t="s">
        <v>408</v>
      </c>
      <c r="B250" t="s">
        <v>157</v>
      </c>
      <c r="C250">
        <v>323.05014324188232</v>
      </c>
      <c r="D250">
        <v>1633</v>
      </c>
      <c r="E250">
        <v>4174</v>
      </c>
      <c r="F250">
        <v>10</v>
      </c>
      <c r="G250">
        <v>9</v>
      </c>
      <c r="H250">
        <v>0.67924528301886788</v>
      </c>
      <c r="I250">
        <v>1</v>
      </c>
      <c r="J250">
        <v>1.4905660377358489</v>
      </c>
      <c r="K250">
        <v>1.4905660377358489</v>
      </c>
      <c r="L250">
        <v>5.8888888888888893</v>
      </c>
      <c r="M250">
        <v>8</v>
      </c>
      <c r="N250">
        <v>1</v>
      </c>
      <c r="O250">
        <v>2</v>
      </c>
      <c r="P250">
        <v>79</v>
      </c>
      <c r="Q250">
        <v>53</v>
      </c>
      <c r="R250">
        <v>9</v>
      </c>
      <c r="S250">
        <v>10</v>
      </c>
      <c r="T250">
        <v>451</v>
      </c>
      <c r="U250">
        <v>74</v>
      </c>
      <c r="V250">
        <v>36</v>
      </c>
      <c r="W250">
        <v>79</v>
      </c>
    </row>
    <row r="251" spans="1:23" x14ac:dyDescent="0.2">
      <c r="A251" t="s">
        <v>409</v>
      </c>
      <c r="B251" t="s">
        <v>157</v>
      </c>
      <c r="C251">
        <v>15.227577447891241</v>
      </c>
      <c r="D251">
        <v>13842</v>
      </c>
      <c r="E251">
        <v>29926</v>
      </c>
      <c r="F251">
        <v>17</v>
      </c>
      <c r="G251">
        <v>16</v>
      </c>
      <c r="H251">
        <v>0</v>
      </c>
      <c r="I251">
        <v>1.032520325203252</v>
      </c>
      <c r="J251">
        <v>1.984375</v>
      </c>
      <c r="K251">
        <v>1.921875</v>
      </c>
      <c r="L251">
        <v>4</v>
      </c>
      <c r="M251">
        <v>0</v>
      </c>
      <c r="N251">
        <v>2</v>
      </c>
      <c r="O251">
        <v>2</v>
      </c>
      <c r="P251">
        <v>123</v>
      </c>
      <c r="Q251">
        <v>64</v>
      </c>
      <c r="R251">
        <v>16</v>
      </c>
      <c r="S251">
        <v>21</v>
      </c>
      <c r="T251">
        <v>1217</v>
      </c>
      <c r="U251">
        <v>304</v>
      </c>
      <c r="V251">
        <v>0</v>
      </c>
      <c r="W251">
        <v>127</v>
      </c>
    </row>
    <row r="252" spans="1:23" x14ac:dyDescent="0.2">
      <c r="A252" t="s">
        <v>410</v>
      </c>
      <c r="B252" t="s">
        <v>158</v>
      </c>
      <c r="C252" t="s">
        <v>159</v>
      </c>
      <c r="D252" t="s">
        <v>159</v>
      </c>
      <c r="E252" t="s">
        <v>159</v>
      </c>
      <c r="F252" t="s">
        <v>159</v>
      </c>
      <c r="G252" t="s">
        <v>159</v>
      </c>
      <c r="H252" t="s">
        <v>159</v>
      </c>
      <c r="I252" t="s">
        <v>159</v>
      </c>
      <c r="J252" t="s">
        <v>159</v>
      </c>
      <c r="K252" t="s">
        <v>159</v>
      </c>
      <c r="L252" t="s">
        <v>159</v>
      </c>
      <c r="M252" t="s">
        <v>159</v>
      </c>
      <c r="N252" t="s">
        <v>159</v>
      </c>
      <c r="O252" t="s">
        <v>159</v>
      </c>
      <c r="P252" t="s">
        <v>159</v>
      </c>
      <c r="Q252" t="s">
        <v>159</v>
      </c>
      <c r="R252" t="s">
        <v>159</v>
      </c>
      <c r="S252" t="s">
        <v>159</v>
      </c>
      <c r="T252" t="s">
        <v>159</v>
      </c>
      <c r="U252" t="s">
        <v>159</v>
      </c>
      <c r="V252" t="s">
        <v>159</v>
      </c>
      <c r="W252" t="s">
        <v>159</v>
      </c>
    </row>
    <row r="253" spans="1:23" x14ac:dyDescent="0.2">
      <c r="A253" t="s">
        <v>411</v>
      </c>
      <c r="B253" t="s">
        <v>157</v>
      </c>
      <c r="C253">
        <v>3.3509724140167241</v>
      </c>
      <c r="D253">
        <v>264</v>
      </c>
      <c r="E253">
        <v>473</v>
      </c>
      <c r="F253">
        <v>11</v>
      </c>
      <c r="G253">
        <v>9</v>
      </c>
      <c r="H253">
        <v>2.7162162162162158</v>
      </c>
      <c r="I253">
        <v>1</v>
      </c>
      <c r="J253">
        <v>1.459459459459459</v>
      </c>
      <c r="K253">
        <v>1.459459459459459</v>
      </c>
      <c r="L253">
        <v>8.2222222222222214</v>
      </c>
      <c r="M253">
        <v>4</v>
      </c>
      <c r="N253">
        <v>1</v>
      </c>
      <c r="O253">
        <v>2</v>
      </c>
      <c r="P253">
        <v>108</v>
      </c>
      <c r="Q253">
        <v>74</v>
      </c>
      <c r="R253">
        <v>9</v>
      </c>
      <c r="S253">
        <v>11</v>
      </c>
      <c r="T253">
        <v>706</v>
      </c>
      <c r="U253">
        <v>83</v>
      </c>
      <c r="V253">
        <v>201</v>
      </c>
      <c r="W253">
        <v>108</v>
      </c>
    </row>
    <row r="254" spans="1:23" x14ac:dyDescent="0.2">
      <c r="A254" t="s">
        <v>412</v>
      </c>
      <c r="B254" t="s">
        <v>157</v>
      </c>
      <c r="C254">
        <v>253.00474953651431</v>
      </c>
      <c r="D254">
        <v>362</v>
      </c>
      <c r="E254">
        <v>2717</v>
      </c>
      <c r="F254">
        <v>6</v>
      </c>
      <c r="G254">
        <v>5</v>
      </c>
      <c r="H254">
        <v>2.034782608695652</v>
      </c>
      <c r="I254">
        <v>1.6647398843930641</v>
      </c>
      <c r="J254">
        <v>2.5043478260869572</v>
      </c>
      <c r="K254">
        <v>1.5043478260869561</v>
      </c>
      <c r="L254">
        <v>23</v>
      </c>
      <c r="M254">
        <v>6</v>
      </c>
      <c r="N254">
        <v>3</v>
      </c>
      <c r="O254">
        <v>2</v>
      </c>
      <c r="P254">
        <v>173</v>
      </c>
      <c r="Q254">
        <v>115</v>
      </c>
      <c r="R254">
        <v>5</v>
      </c>
      <c r="S254">
        <v>16</v>
      </c>
      <c r="T254">
        <v>1552</v>
      </c>
      <c r="U254">
        <v>65</v>
      </c>
      <c r="V254">
        <v>234</v>
      </c>
      <c r="W254">
        <v>288</v>
      </c>
    </row>
    <row r="255" spans="1:23" x14ac:dyDescent="0.2">
      <c r="A255" t="s">
        <v>413</v>
      </c>
      <c r="B255" t="s">
        <v>157</v>
      </c>
      <c r="C255">
        <v>1125.0796444416051</v>
      </c>
      <c r="D255">
        <v>2789</v>
      </c>
      <c r="E255">
        <v>4419</v>
      </c>
      <c r="F255">
        <v>10</v>
      </c>
      <c r="G255">
        <v>9</v>
      </c>
      <c r="H255">
        <v>0.69811320754716977</v>
      </c>
      <c r="I255">
        <v>1</v>
      </c>
      <c r="J255">
        <v>2.0188679245283021</v>
      </c>
      <c r="K255">
        <v>2.0188679245283021</v>
      </c>
      <c r="L255">
        <v>5.8888888888888893</v>
      </c>
      <c r="M255">
        <v>8</v>
      </c>
      <c r="N255">
        <v>1</v>
      </c>
      <c r="O255">
        <v>3</v>
      </c>
      <c r="P255">
        <v>107</v>
      </c>
      <c r="Q255">
        <v>53</v>
      </c>
      <c r="R255">
        <v>9</v>
      </c>
      <c r="S255">
        <v>10</v>
      </c>
      <c r="T255">
        <v>423</v>
      </c>
      <c r="U255">
        <v>66</v>
      </c>
      <c r="V255">
        <v>37</v>
      </c>
      <c r="W255">
        <v>107</v>
      </c>
    </row>
    <row r="256" spans="1:23" x14ac:dyDescent="0.2">
      <c r="A256" t="s">
        <v>414</v>
      </c>
      <c r="B256" t="s">
        <v>157</v>
      </c>
      <c r="C256">
        <v>3.9214906692504878</v>
      </c>
      <c r="D256">
        <v>122</v>
      </c>
      <c r="E256">
        <v>698</v>
      </c>
      <c r="F256">
        <v>8</v>
      </c>
      <c r="G256">
        <v>6</v>
      </c>
      <c r="H256">
        <v>0</v>
      </c>
      <c r="I256">
        <v>1.055555555555556</v>
      </c>
      <c r="J256">
        <v>2.96875</v>
      </c>
      <c r="K256">
        <v>2.8125</v>
      </c>
      <c r="L256">
        <v>5.333333333333333</v>
      </c>
      <c r="M256">
        <v>0</v>
      </c>
      <c r="N256">
        <v>6</v>
      </c>
      <c r="O256">
        <v>5</v>
      </c>
      <c r="P256">
        <v>90</v>
      </c>
      <c r="Q256">
        <v>32</v>
      </c>
      <c r="R256">
        <v>6</v>
      </c>
      <c r="S256">
        <v>13</v>
      </c>
      <c r="T256">
        <v>321</v>
      </c>
      <c r="U256">
        <v>57</v>
      </c>
      <c r="V256">
        <v>0</v>
      </c>
      <c r="W256">
        <v>95</v>
      </c>
    </row>
    <row r="257" spans="1:23" x14ac:dyDescent="0.2">
      <c r="A257" t="s">
        <v>415</v>
      </c>
      <c r="B257" t="s">
        <v>157</v>
      </c>
      <c r="C257">
        <v>10.996252775192261</v>
      </c>
      <c r="D257">
        <v>275</v>
      </c>
      <c r="E257">
        <v>381</v>
      </c>
      <c r="F257">
        <v>9</v>
      </c>
      <c r="G257">
        <v>8</v>
      </c>
      <c r="H257">
        <v>124.0392156862745</v>
      </c>
      <c r="I257">
        <v>1.054945054945055</v>
      </c>
      <c r="J257">
        <v>1.8823529411764699</v>
      </c>
      <c r="K257">
        <v>1.784313725490196</v>
      </c>
      <c r="L257">
        <v>6.375</v>
      </c>
      <c r="M257">
        <v>1056</v>
      </c>
      <c r="N257">
        <v>2</v>
      </c>
      <c r="O257">
        <v>3</v>
      </c>
      <c r="P257">
        <v>91</v>
      </c>
      <c r="Q257">
        <v>51</v>
      </c>
      <c r="R257">
        <v>8</v>
      </c>
      <c r="S257">
        <v>10</v>
      </c>
      <c r="T257">
        <v>414</v>
      </c>
      <c r="U257">
        <v>62</v>
      </c>
      <c r="V257">
        <v>6326</v>
      </c>
      <c r="W257">
        <v>96</v>
      </c>
    </row>
    <row r="258" spans="1:23" x14ac:dyDescent="0.2">
      <c r="A258" t="s">
        <v>416</v>
      </c>
      <c r="B258" t="s">
        <v>157</v>
      </c>
      <c r="C258">
        <v>205.3072874546051</v>
      </c>
      <c r="D258">
        <v>1030</v>
      </c>
      <c r="E258">
        <v>19697</v>
      </c>
      <c r="F258">
        <v>7</v>
      </c>
      <c r="G258">
        <v>6</v>
      </c>
      <c r="H258">
        <v>3.125E-2</v>
      </c>
      <c r="I258">
        <v>1</v>
      </c>
      <c r="J258">
        <v>2.65625</v>
      </c>
      <c r="K258">
        <v>2.65625</v>
      </c>
      <c r="L258">
        <v>5.333333333333333</v>
      </c>
      <c r="M258">
        <v>1</v>
      </c>
      <c r="N258">
        <v>1</v>
      </c>
      <c r="O258">
        <v>5</v>
      </c>
      <c r="P258">
        <v>85</v>
      </c>
      <c r="Q258">
        <v>32</v>
      </c>
      <c r="R258">
        <v>6</v>
      </c>
      <c r="S258">
        <v>7</v>
      </c>
      <c r="T258">
        <v>139</v>
      </c>
      <c r="U258">
        <v>22</v>
      </c>
      <c r="V258">
        <v>1</v>
      </c>
      <c r="W258">
        <v>85</v>
      </c>
    </row>
    <row r="259" spans="1:23" x14ac:dyDescent="0.2">
      <c r="A259" t="s">
        <v>417</v>
      </c>
      <c r="B259" t="s">
        <v>158</v>
      </c>
      <c r="C259" t="s">
        <v>159</v>
      </c>
      <c r="D259" t="s">
        <v>159</v>
      </c>
      <c r="E259" t="s">
        <v>159</v>
      </c>
      <c r="F259" t="s">
        <v>159</v>
      </c>
      <c r="G259" t="s">
        <v>159</v>
      </c>
      <c r="H259" t="s">
        <v>159</v>
      </c>
      <c r="I259" t="s">
        <v>159</v>
      </c>
      <c r="J259" t="s">
        <v>159</v>
      </c>
      <c r="K259" t="s">
        <v>159</v>
      </c>
      <c r="L259" t="s">
        <v>159</v>
      </c>
      <c r="M259" t="s">
        <v>159</v>
      </c>
      <c r="N259" t="s">
        <v>159</v>
      </c>
      <c r="O259" t="s">
        <v>159</v>
      </c>
      <c r="P259" t="s">
        <v>159</v>
      </c>
      <c r="Q259" t="s">
        <v>159</v>
      </c>
      <c r="R259" t="s">
        <v>159</v>
      </c>
      <c r="S259" t="s">
        <v>159</v>
      </c>
      <c r="T259" t="s">
        <v>159</v>
      </c>
      <c r="U259" t="s">
        <v>159</v>
      </c>
      <c r="V259" t="s">
        <v>159</v>
      </c>
      <c r="W259" t="s">
        <v>159</v>
      </c>
    </row>
    <row r="260" spans="1:23" x14ac:dyDescent="0.2">
      <c r="A260" t="s">
        <v>418</v>
      </c>
      <c r="B260" t="s">
        <v>157</v>
      </c>
      <c r="C260">
        <v>174.24186396598819</v>
      </c>
      <c r="D260">
        <v>739</v>
      </c>
      <c r="E260">
        <v>1327</v>
      </c>
      <c r="F260">
        <v>9</v>
      </c>
      <c r="G260">
        <v>8</v>
      </c>
      <c r="H260">
        <v>1.5166666666666671</v>
      </c>
      <c r="I260">
        <v>1.122222222222222</v>
      </c>
      <c r="J260">
        <v>1.6833333333333329</v>
      </c>
      <c r="K260">
        <v>1.5</v>
      </c>
      <c r="L260">
        <v>7.5</v>
      </c>
      <c r="M260">
        <v>2</v>
      </c>
      <c r="N260">
        <v>2</v>
      </c>
      <c r="O260">
        <v>2</v>
      </c>
      <c r="P260">
        <v>90</v>
      </c>
      <c r="Q260">
        <v>60</v>
      </c>
      <c r="R260">
        <v>8</v>
      </c>
      <c r="S260">
        <v>17</v>
      </c>
      <c r="T260">
        <v>919</v>
      </c>
      <c r="U260">
        <v>121</v>
      </c>
      <c r="V260">
        <v>91</v>
      </c>
      <c r="W260">
        <v>101</v>
      </c>
    </row>
    <row r="261" spans="1:23" x14ac:dyDescent="0.2">
      <c r="A261" t="s">
        <v>419</v>
      </c>
      <c r="B261" t="s">
        <v>157</v>
      </c>
      <c r="C261">
        <v>143.659907579422</v>
      </c>
      <c r="D261">
        <v>632</v>
      </c>
      <c r="E261">
        <v>1296</v>
      </c>
      <c r="F261">
        <v>9</v>
      </c>
      <c r="G261">
        <v>8</v>
      </c>
      <c r="H261">
        <v>1.55</v>
      </c>
      <c r="I261">
        <v>1.1208791208791209</v>
      </c>
      <c r="J261">
        <v>1.7</v>
      </c>
      <c r="K261">
        <v>1.5166666666666671</v>
      </c>
      <c r="L261">
        <v>7.5</v>
      </c>
      <c r="M261">
        <v>2</v>
      </c>
      <c r="N261">
        <v>2</v>
      </c>
      <c r="O261">
        <v>2</v>
      </c>
      <c r="P261">
        <v>91</v>
      </c>
      <c r="Q261">
        <v>60</v>
      </c>
      <c r="R261">
        <v>8</v>
      </c>
      <c r="S261">
        <v>17</v>
      </c>
      <c r="T261">
        <v>918</v>
      </c>
      <c r="U261">
        <v>121</v>
      </c>
      <c r="V261">
        <v>93</v>
      </c>
      <c r="W261">
        <v>102</v>
      </c>
    </row>
    <row r="262" spans="1:23" x14ac:dyDescent="0.2">
      <c r="A262" t="s">
        <v>420</v>
      </c>
      <c r="B262" t="s">
        <v>157</v>
      </c>
      <c r="C262">
        <v>122.5240108966827</v>
      </c>
      <c r="D262">
        <v>1300</v>
      </c>
      <c r="E262">
        <v>2741</v>
      </c>
      <c r="F262">
        <v>10</v>
      </c>
      <c r="G262">
        <v>9</v>
      </c>
      <c r="H262">
        <v>0.67924528301886788</v>
      </c>
      <c r="I262">
        <v>1</v>
      </c>
      <c r="J262">
        <v>1.4905660377358489</v>
      </c>
      <c r="K262">
        <v>1.4905660377358489</v>
      </c>
      <c r="L262">
        <v>5.8888888888888893</v>
      </c>
      <c r="M262">
        <v>8</v>
      </c>
      <c r="N262">
        <v>1</v>
      </c>
      <c r="O262">
        <v>2</v>
      </c>
      <c r="P262">
        <v>79</v>
      </c>
      <c r="Q262">
        <v>53</v>
      </c>
      <c r="R262">
        <v>9</v>
      </c>
      <c r="S262">
        <v>10</v>
      </c>
      <c r="T262">
        <v>451</v>
      </c>
      <c r="U262">
        <v>74</v>
      </c>
      <c r="V262">
        <v>36</v>
      </c>
      <c r="W262">
        <v>79</v>
      </c>
    </row>
    <row r="263" spans="1:23" x14ac:dyDescent="0.2">
      <c r="A263" t="s">
        <v>421</v>
      </c>
      <c r="B263" t="s">
        <v>158</v>
      </c>
      <c r="C263" t="s">
        <v>159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  <c r="I263" t="s">
        <v>159</v>
      </c>
      <c r="J263" t="s">
        <v>159</v>
      </c>
      <c r="K263" t="s">
        <v>159</v>
      </c>
      <c r="L263" t="s">
        <v>159</v>
      </c>
      <c r="M263" t="s">
        <v>159</v>
      </c>
      <c r="N263" t="s">
        <v>159</v>
      </c>
      <c r="O263" t="s">
        <v>159</v>
      </c>
      <c r="P263" t="s">
        <v>159</v>
      </c>
      <c r="Q263" t="s">
        <v>159</v>
      </c>
      <c r="R263" t="s">
        <v>159</v>
      </c>
      <c r="S263" t="s">
        <v>159</v>
      </c>
      <c r="T263" t="s">
        <v>159</v>
      </c>
      <c r="U263" t="s">
        <v>159</v>
      </c>
      <c r="V263" t="s">
        <v>159</v>
      </c>
      <c r="W263" t="s">
        <v>159</v>
      </c>
    </row>
    <row r="264" spans="1:23" x14ac:dyDescent="0.2">
      <c r="A264" t="s">
        <v>422</v>
      </c>
      <c r="B264" t="s">
        <v>157</v>
      </c>
      <c r="C264">
        <v>1540.7583174705501</v>
      </c>
      <c r="D264">
        <v>2532</v>
      </c>
      <c r="E264">
        <v>4075</v>
      </c>
      <c r="F264">
        <v>10</v>
      </c>
      <c r="G264">
        <v>9</v>
      </c>
      <c r="H264">
        <v>0.69811320754716977</v>
      </c>
      <c r="I264">
        <v>1</v>
      </c>
      <c r="J264">
        <v>2.0188679245283021</v>
      </c>
      <c r="K264">
        <v>2.0188679245283021</v>
      </c>
      <c r="L264">
        <v>5.8888888888888893</v>
      </c>
      <c r="M264">
        <v>8</v>
      </c>
      <c r="N264">
        <v>1</v>
      </c>
      <c r="O264">
        <v>3</v>
      </c>
      <c r="P264">
        <v>107</v>
      </c>
      <c r="Q264">
        <v>53</v>
      </c>
      <c r="R264">
        <v>9</v>
      </c>
      <c r="S264">
        <v>10</v>
      </c>
      <c r="T264">
        <v>423</v>
      </c>
      <c r="U264">
        <v>66</v>
      </c>
      <c r="V264">
        <v>37</v>
      </c>
      <c r="W264">
        <v>107</v>
      </c>
    </row>
    <row r="265" spans="1:23" x14ac:dyDescent="0.2">
      <c r="A265" t="s">
        <v>423</v>
      </c>
      <c r="B265" t="s">
        <v>157</v>
      </c>
      <c r="C265">
        <v>6994.2528903484344</v>
      </c>
      <c r="D265">
        <v>6362</v>
      </c>
      <c r="E265">
        <v>17605</v>
      </c>
      <c r="F265">
        <v>13</v>
      </c>
      <c r="G265">
        <v>12</v>
      </c>
      <c r="H265">
        <v>5549.304347826087</v>
      </c>
      <c r="I265">
        <v>1.112676056338028</v>
      </c>
      <c r="J265">
        <v>1.7173913043478259</v>
      </c>
      <c r="K265">
        <v>1.543478260869565</v>
      </c>
      <c r="L265">
        <v>3.833333333333333</v>
      </c>
      <c r="M265">
        <v>39701</v>
      </c>
      <c r="N265">
        <v>2</v>
      </c>
      <c r="O265">
        <v>5</v>
      </c>
      <c r="P265">
        <v>71</v>
      </c>
      <c r="Q265">
        <v>46</v>
      </c>
      <c r="R265">
        <v>12</v>
      </c>
      <c r="S265">
        <v>25</v>
      </c>
      <c r="T265">
        <v>1071</v>
      </c>
      <c r="U265">
        <v>272</v>
      </c>
      <c r="V265">
        <v>255268</v>
      </c>
      <c r="W265">
        <v>79</v>
      </c>
    </row>
    <row r="266" spans="1:23" x14ac:dyDescent="0.2">
      <c r="A266" t="s">
        <v>424</v>
      </c>
      <c r="B266" t="s">
        <v>158</v>
      </c>
      <c r="C266" t="s">
        <v>159</v>
      </c>
      <c r="D266" t="s">
        <v>159</v>
      </c>
      <c r="E266" t="s">
        <v>159</v>
      </c>
      <c r="F266" t="s">
        <v>159</v>
      </c>
      <c r="G266" t="s">
        <v>159</v>
      </c>
      <c r="H266" t="s">
        <v>159</v>
      </c>
      <c r="I266" t="s">
        <v>159</v>
      </c>
      <c r="J266" t="s">
        <v>159</v>
      </c>
      <c r="K266" t="s">
        <v>159</v>
      </c>
      <c r="L266" t="s">
        <v>159</v>
      </c>
      <c r="M266" t="s">
        <v>159</v>
      </c>
      <c r="N266" t="s">
        <v>159</v>
      </c>
      <c r="O266" t="s">
        <v>159</v>
      </c>
      <c r="P266" t="s">
        <v>159</v>
      </c>
      <c r="Q266" t="s">
        <v>159</v>
      </c>
      <c r="R266" t="s">
        <v>159</v>
      </c>
      <c r="S266" t="s">
        <v>159</v>
      </c>
      <c r="T266" t="s">
        <v>159</v>
      </c>
      <c r="U266" t="s">
        <v>159</v>
      </c>
      <c r="V266" t="s">
        <v>159</v>
      </c>
      <c r="W266" t="s">
        <v>159</v>
      </c>
    </row>
    <row r="267" spans="1:23" x14ac:dyDescent="0.2">
      <c r="A267" t="s">
        <v>425</v>
      </c>
      <c r="B267" t="s">
        <v>157</v>
      </c>
      <c r="C267">
        <v>2.7983179092407231</v>
      </c>
      <c r="D267">
        <v>81</v>
      </c>
      <c r="E267">
        <v>308</v>
      </c>
      <c r="F267">
        <v>6</v>
      </c>
      <c r="G267">
        <v>4</v>
      </c>
      <c r="H267">
        <v>1.470588235294118</v>
      </c>
      <c r="I267">
        <v>1.5</v>
      </c>
      <c r="J267">
        <v>2.117647058823529</v>
      </c>
      <c r="K267">
        <v>1.411764705882353</v>
      </c>
      <c r="L267">
        <v>4.25</v>
      </c>
      <c r="M267">
        <v>6</v>
      </c>
      <c r="N267">
        <v>3</v>
      </c>
      <c r="O267">
        <v>3</v>
      </c>
      <c r="P267">
        <v>24</v>
      </c>
      <c r="Q267">
        <v>17</v>
      </c>
      <c r="R267">
        <v>4</v>
      </c>
      <c r="S267">
        <v>12</v>
      </c>
      <c r="T267">
        <v>168</v>
      </c>
      <c r="U267">
        <v>35</v>
      </c>
      <c r="V267">
        <v>25</v>
      </c>
      <c r="W267">
        <v>36</v>
      </c>
    </row>
    <row r="268" spans="1:23" x14ac:dyDescent="0.2">
      <c r="A268" t="s">
        <v>426</v>
      </c>
      <c r="B268" t="s">
        <v>157</v>
      </c>
      <c r="C268">
        <v>20.772582769393921</v>
      </c>
      <c r="D268">
        <v>318</v>
      </c>
      <c r="E268">
        <v>406</v>
      </c>
      <c r="F268">
        <v>8</v>
      </c>
      <c r="G268">
        <v>7</v>
      </c>
      <c r="H268">
        <v>0.6470588235294118</v>
      </c>
      <c r="I268">
        <v>1</v>
      </c>
      <c r="J268">
        <v>1.6764705882352939</v>
      </c>
      <c r="K268">
        <v>1.6764705882352939</v>
      </c>
      <c r="L268">
        <v>4.8571428571428568</v>
      </c>
      <c r="M268">
        <v>6</v>
      </c>
      <c r="N268">
        <v>1</v>
      </c>
      <c r="O268">
        <v>3</v>
      </c>
      <c r="P268">
        <v>57</v>
      </c>
      <c r="Q268">
        <v>34</v>
      </c>
      <c r="R268">
        <v>7</v>
      </c>
      <c r="S268">
        <v>8</v>
      </c>
      <c r="T268">
        <v>215</v>
      </c>
      <c r="U268">
        <v>38</v>
      </c>
      <c r="V268">
        <v>22</v>
      </c>
      <c r="W268">
        <v>57</v>
      </c>
    </row>
    <row r="269" spans="1:23" x14ac:dyDescent="0.2">
      <c r="A269" t="s">
        <v>427</v>
      </c>
      <c r="B269" t="s">
        <v>157</v>
      </c>
      <c r="C269">
        <v>252.1205358505249</v>
      </c>
      <c r="D269">
        <v>924</v>
      </c>
      <c r="E269">
        <v>21517</v>
      </c>
      <c r="F269">
        <v>7</v>
      </c>
      <c r="G269">
        <v>6</v>
      </c>
      <c r="H269">
        <v>3.125E-2</v>
      </c>
      <c r="I269">
        <v>1</v>
      </c>
      <c r="J269">
        <v>2.78125</v>
      </c>
      <c r="K269">
        <v>2.78125</v>
      </c>
      <c r="L269">
        <v>5.333333333333333</v>
      </c>
      <c r="M269">
        <v>1</v>
      </c>
      <c r="N269">
        <v>1</v>
      </c>
      <c r="O269">
        <v>5</v>
      </c>
      <c r="P269">
        <v>89</v>
      </c>
      <c r="Q269">
        <v>32</v>
      </c>
      <c r="R269">
        <v>6</v>
      </c>
      <c r="S269">
        <v>7</v>
      </c>
      <c r="T269">
        <v>135</v>
      </c>
      <c r="U269">
        <v>22</v>
      </c>
      <c r="V269">
        <v>1</v>
      </c>
      <c r="W269">
        <v>89</v>
      </c>
    </row>
    <row r="270" spans="1:23" x14ac:dyDescent="0.2">
      <c r="A270" t="s">
        <v>428</v>
      </c>
      <c r="B270" t="s">
        <v>157</v>
      </c>
      <c r="C270">
        <v>2838.1749923229222</v>
      </c>
      <c r="D270">
        <v>2133</v>
      </c>
      <c r="E270">
        <v>3992</v>
      </c>
      <c r="F270">
        <v>10</v>
      </c>
      <c r="G270">
        <v>9</v>
      </c>
      <c r="H270">
        <v>57854145192165.117</v>
      </c>
      <c r="I270">
        <v>1.029126213592233</v>
      </c>
      <c r="J270">
        <v>2.058252427184466</v>
      </c>
      <c r="K270">
        <v>2</v>
      </c>
      <c r="L270">
        <v>11.444444444444439</v>
      </c>
      <c r="M270">
        <v>1212982689600000</v>
      </c>
      <c r="N270">
        <v>2</v>
      </c>
      <c r="O270">
        <v>4</v>
      </c>
      <c r="P270">
        <v>206</v>
      </c>
      <c r="Q270">
        <v>103</v>
      </c>
      <c r="R270">
        <v>9</v>
      </c>
      <c r="S270">
        <v>19</v>
      </c>
      <c r="T270">
        <v>1745</v>
      </c>
      <c r="U270">
        <v>144</v>
      </c>
      <c r="V270">
        <v>5958976954793007</v>
      </c>
      <c r="W270">
        <v>212</v>
      </c>
    </row>
    <row r="271" spans="1:23" x14ac:dyDescent="0.2">
      <c r="A271" t="s">
        <v>429</v>
      </c>
      <c r="B271" t="s">
        <v>157</v>
      </c>
      <c r="C271">
        <v>6.6772768497467041</v>
      </c>
      <c r="D271">
        <v>7201</v>
      </c>
      <c r="E271">
        <v>11643</v>
      </c>
      <c r="F271">
        <v>17</v>
      </c>
      <c r="G271">
        <v>16</v>
      </c>
      <c r="H271">
        <v>0</v>
      </c>
      <c r="I271">
        <v>1.032520325203252</v>
      </c>
      <c r="J271">
        <v>1.984375</v>
      </c>
      <c r="K271">
        <v>1.921875</v>
      </c>
      <c r="L271">
        <v>4</v>
      </c>
      <c r="M271">
        <v>0</v>
      </c>
      <c r="N271">
        <v>2</v>
      </c>
      <c r="O271">
        <v>2</v>
      </c>
      <c r="P271">
        <v>123</v>
      </c>
      <c r="Q271">
        <v>64</v>
      </c>
      <c r="R271">
        <v>16</v>
      </c>
      <c r="S271">
        <v>21</v>
      </c>
      <c r="T271">
        <v>1217</v>
      </c>
      <c r="U271">
        <v>304</v>
      </c>
      <c r="V271">
        <v>0</v>
      </c>
      <c r="W271">
        <v>127</v>
      </c>
    </row>
    <row r="272" spans="1:23" x14ac:dyDescent="0.2">
      <c r="A272" t="s">
        <v>430</v>
      </c>
      <c r="B272" t="s">
        <v>157</v>
      </c>
      <c r="C272">
        <v>62.324039936065667</v>
      </c>
      <c r="D272">
        <v>2128</v>
      </c>
      <c r="E272">
        <v>5564</v>
      </c>
      <c r="F272">
        <v>10</v>
      </c>
      <c r="G272">
        <v>9</v>
      </c>
      <c r="H272">
        <v>0.67924528301886788</v>
      </c>
      <c r="I272">
        <v>1</v>
      </c>
      <c r="J272">
        <v>1.4905660377358489</v>
      </c>
      <c r="K272">
        <v>1.4905660377358489</v>
      </c>
      <c r="L272">
        <v>5.8888888888888893</v>
      </c>
      <c r="M272">
        <v>8</v>
      </c>
      <c r="N272">
        <v>1</v>
      </c>
      <c r="O272">
        <v>2</v>
      </c>
      <c r="P272">
        <v>79</v>
      </c>
      <c r="Q272">
        <v>53</v>
      </c>
      <c r="R272">
        <v>9</v>
      </c>
      <c r="S272">
        <v>10</v>
      </c>
      <c r="T272">
        <v>451</v>
      </c>
      <c r="U272">
        <v>74</v>
      </c>
      <c r="V272">
        <v>36</v>
      </c>
      <c r="W272">
        <v>79</v>
      </c>
    </row>
    <row r="273" spans="1:23" x14ac:dyDescent="0.2">
      <c r="A273" t="s">
        <v>431</v>
      </c>
      <c r="B273" t="s">
        <v>158</v>
      </c>
      <c r="C273" t="s">
        <v>159</v>
      </c>
      <c r="D273" t="s">
        <v>159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  <c r="V273" t="s">
        <v>159</v>
      </c>
      <c r="W273" t="s">
        <v>159</v>
      </c>
    </row>
    <row r="274" spans="1:23" x14ac:dyDescent="0.2">
      <c r="A274" t="s">
        <v>432</v>
      </c>
      <c r="B274" t="s">
        <v>157</v>
      </c>
      <c r="C274">
        <v>27.611859321594238</v>
      </c>
      <c r="D274">
        <v>331</v>
      </c>
      <c r="E274">
        <v>516</v>
      </c>
      <c r="F274">
        <v>9</v>
      </c>
      <c r="G274">
        <v>8</v>
      </c>
      <c r="H274">
        <v>50.921568627450981</v>
      </c>
      <c r="I274">
        <v>1.054945054945055</v>
      </c>
      <c r="J274">
        <v>1.8823529411764699</v>
      </c>
      <c r="K274">
        <v>1.784313725490196</v>
      </c>
      <c r="L274">
        <v>6.375</v>
      </c>
      <c r="M274">
        <v>284</v>
      </c>
      <c r="N274">
        <v>2</v>
      </c>
      <c r="O274">
        <v>3</v>
      </c>
      <c r="P274">
        <v>91</v>
      </c>
      <c r="Q274">
        <v>51</v>
      </c>
      <c r="R274">
        <v>8</v>
      </c>
      <c r="S274">
        <v>10</v>
      </c>
      <c r="T274">
        <v>414</v>
      </c>
      <c r="U274">
        <v>62</v>
      </c>
      <c r="V274">
        <v>2597</v>
      </c>
      <c r="W274">
        <v>96</v>
      </c>
    </row>
    <row r="275" spans="1:23" x14ac:dyDescent="0.2">
      <c r="A275" t="s">
        <v>433</v>
      </c>
      <c r="B275" t="s">
        <v>157</v>
      </c>
      <c r="C275">
        <v>556.66026210784912</v>
      </c>
      <c r="D275">
        <v>915</v>
      </c>
      <c r="E275">
        <v>21647</v>
      </c>
      <c r="F275">
        <v>7</v>
      </c>
      <c r="G275">
        <v>6</v>
      </c>
      <c r="H275">
        <v>7.1428571428571425E-2</v>
      </c>
      <c r="I275">
        <v>1.1818181818181821</v>
      </c>
      <c r="J275">
        <v>2.3214285714285721</v>
      </c>
      <c r="K275">
        <v>1.964285714285714</v>
      </c>
      <c r="L275">
        <v>4.666666666666667</v>
      </c>
      <c r="M275">
        <v>1</v>
      </c>
      <c r="N275">
        <v>5</v>
      </c>
      <c r="O275">
        <v>4</v>
      </c>
      <c r="P275">
        <v>55</v>
      </c>
      <c r="Q275">
        <v>28</v>
      </c>
      <c r="R275">
        <v>6</v>
      </c>
      <c r="S275">
        <v>11</v>
      </c>
      <c r="T275">
        <v>243</v>
      </c>
      <c r="U275">
        <v>47</v>
      </c>
      <c r="V275">
        <v>2</v>
      </c>
      <c r="W275">
        <v>65</v>
      </c>
    </row>
    <row r="276" spans="1:23" x14ac:dyDescent="0.2">
      <c r="A276" t="s">
        <v>434</v>
      </c>
      <c r="B276" t="s">
        <v>157</v>
      </c>
      <c r="C276">
        <v>28.0574517250061</v>
      </c>
      <c r="D276">
        <v>254</v>
      </c>
      <c r="E276">
        <v>347</v>
      </c>
      <c r="F276">
        <v>8</v>
      </c>
      <c r="G276">
        <v>7</v>
      </c>
      <c r="H276">
        <v>1.5106382978723401</v>
      </c>
      <c r="I276">
        <v>1.130434782608696</v>
      </c>
      <c r="J276">
        <v>1.6595744680851059</v>
      </c>
      <c r="K276">
        <v>1.468085106382979</v>
      </c>
      <c r="L276">
        <v>6.7142857142857144</v>
      </c>
      <c r="M276">
        <v>2</v>
      </c>
      <c r="N276">
        <v>2</v>
      </c>
      <c r="O276">
        <v>2</v>
      </c>
      <c r="P276">
        <v>69</v>
      </c>
      <c r="Q276">
        <v>47</v>
      </c>
      <c r="R276">
        <v>7</v>
      </c>
      <c r="S276">
        <v>15</v>
      </c>
      <c r="T276">
        <v>627</v>
      </c>
      <c r="U276">
        <v>92</v>
      </c>
      <c r="V276">
        <v>71</v>
      </c>
      <c r="W276">
        <v>78</v>
      </c>
    </row>
    <row r="277" spans="1:23" x14ac:dyDescent="0.2">
      <c r="A277" t="s">
        <v>435</v>
      </c>
      <c r="B277" t="s">
        <v>157</v>
      </c>
      <c r="C277">
        <v>6.9315080642700204</v>
      </c>
      <c r="D277">
        <v>8100</v>
      </c>
      <c r="E277">
        <v>11848</v>
      </c>
      <c r="F277">
        <v>17</v>
      </c>
      <c r="G277">
        <v>16</v>
      </c>
      <c r="H277">
        <v>0</v>
      </c>
      <c r="I277">
        <v>1.032520325203252</v>
      </c>
      <c r="J277">
        <v>1.984375</v>
      </c>
      <c r="K277">
        <v>1.921875</v>
      </c>
      <c r="L277">
        <v>4</v>
      </c>
      <c r="M277">
        <v>0</v>
      </c>
      <c r="N277">
        <v>2</v>
      </c>
      <c r="O277">
        <v>2</v>
      </c>
      <c r="P277">
        <v>123</v>
      </c>
      <c r="Q277">
        <v>64</v>
      </c>
      <c r="R277">
        <v>16</v>
      </c>
      <c r="S277">
        <v>21</v>
      </c>
      <c r="T277">
        <v>1217</v>
      </c>
      <c r="U277">
        <v>304</v>
      </c>
      <c r="V277">
        <v>0</v>
      </c>
      <c r="W277">
        <v>127</v>
      </c>
    </row>
    <row r="278" spans="1:23" x14ac:dyDescent="0.2">
      <c r="A278" t="s">
        <v>436</v>
      </c>
      <c r="B278" t="s">
        <v>157</v>
      </c>
      <c r="C278">
        <v>22.378143548965461</v>
      </c>
      <c r="D278">
        <v>350</v>
      </c>
      <c r="E278">
        <v>362</v>
      </c>
      <c r="F278">
        <v>10</v>
      </c>
      <c r="G278">
        <v>9</v>
      </c>
      <c r="H278">
        <v>9.6393442622950793</v>
      </c>
      <c r="I278">
        <v>1.008403361344538</v>
      </c>
      <c r="J278">
        <v>1.9672131147540981</v>
      </c>
      <c r="K278">
        <v>1.9508196721311479</v>
      </c>
      <c r="L278">
        <v>6.7777777777777777</v>
      </c>
      <c r="M278">
        <v>100</v>
      </c>
      <c r="N278">
        <v>2</v>
      </c>
      <c r="O278">
        <v>4</v>
      </c>
      <c r="P278">
        <v>119</v>
      </c>
      <c r="Q278">
        <v>61</v>
      </c>
      <c r="R278">
        <v>9</v>
      </c>
      <c r="S278">
        <v>19</v>
      </c>
      <c r="T278">
        <v>1039</v>
      </c>
      <c r="U278">
        <v>147</v>
      </c>
      <c r="V278">
        <v>588</v>
      </c>
      <c r="W278">
        <v>120</v>
      </c>
    </row>
    <row r="279" spans="1:23" x14ac:dyDescent="0.2">
      <c r="A279" t="s">
        <v>437</v>
      </c>
      <c r="B279" t="s">
        <v>158</v>
      </c>
      <c r="C279" t="s">
        <v>159</v>
      </c>
      <c r="D279" t="s">
        <v>159</v>
      </c>
      <c r="E279" t="s">
        <v>159</v>
      </c>
      <c r="F279" t="s">
        <v>159</v>
      </c>
      <c r="G279" t="s">
        <v>159</v>
      </c>
      <c r="H279" t="s">
        <v>159</v>
      </c>
      <c r="I279" t="s">
        <v>159</v>
      </c>
      <c r="J279" t="s">
        <v>159</v>
      </c>
      <c r="K279" t="s">
        <v>159</v>
      </c>
      <c r="L279" t="s">
        <v>159</v>
      </c>
      <c r="M279" t="s">
        <v>159</v>
      </c>
      <c r="N279" t="s">
        <v>159</v>
      </c>
      <c r="O279" t="s">
        <v>159</v>
      </c>
      <c r="P279" t="s">
        <v>159</v>
      </c>
      <c r="Q279" t="s">
        <v>159</v>
      </c>
      <c r="R279" t="s">
        <v>159</v>
      </c>
      <c r="S279" t="s">
        <v>159</v>
      </c>
      <c r="T279" t="s">
        <v>159</v>
      </c>
      <c r="U279" t="s">
        <v>159</v>
      </c>
      <c r="V279" t="s">
        <v>159</v>
      </c>
      <c r="W279" t="s">
        <v>159</v>
      </c>
    </row>
    <row r="280" spans="1:23" x14ac:dyDescent="0.2">
      <c r="A280" t="s">
        <v>438</v>
      </c>
      <c r="B280" t="s">
        <v>157</v>
      </c>
      <c r="C280">
        <v>1154.5375421047211</v>
      </c>
      <c r="D280">
        <v>4169</v>
      </c>
      <c r="E280">
        <v>7906</v>
      </c>
      <c r="F280">
        <v>10</v>
      </c>
      <c r="G280">
        <v>9</v>
      </c>
      <c r="H280">
        <v>9.6279069767441836</v>
      </c>
      <c r="I280">
        <v>1.681159420289855</v>
      </c>
      <c r="J280">
        <v>2.6976744186046511</v>
      </c>
      <c r="K280">
        <v>1.6046511627906981</v>
      </c>
      <c r="L280">
        <v>4.7777777777777777</v>
      </c>
      <c r="M280">
        <v>50</v>
      </c>
      <c r="N280">
        <v>4</v>
      </c>
      <c r="O280">
        <v>3</v>
      </c>
      <c r="P280">
        <v>69</v>
      </c>
      <c r="Q280">
        <v>43</v>
      </c>
      <c r="R280">
        <v>9</v>
      </c>
      <c r="S280">
        <v>25</v>
      </c>
      <c r="T280">
        <v>959</v>
      </c>
      <c r="U280">
        <v>193</v>
      </c>
      <c r="V280">
        <v>414</v>
      </c>
      <c r="W280">
        <v>116</v>
      </c>
    </row>
    <row r="281" spans="1:23" x14ac:dyDescent="0.2">
      <c r="A281" t="s">
        <v>439</v>
      </c>
      <c r="B281" t="s">
        <v>157</v>
      </c>
      <c r="C281">
        <v>464.88160562515259</v>
      </c>
      <c r="D281">
        <v>1055</v>
      </c>
      <c r="E281">
        <v>21205</v>
      </c>
      <c r="F281">
        <v>7</v>
      </c>
      <c r="G281">
        <v>6</v>
      </c>
      <c r="H281">
        <v>7.1428571428571425E-2</v>
      </c>
      <c r="I281">
        <v>1.188679245283019</v>
      </c>
      <c r="J281">
        <v>2.25</v>
      </c>
      <c r="K281">
        <v>1.892857142857143</v>
      </c>
      <c r="L281">
        <v>4.666666666666667</v>
      </c>
      <c r="M281">
        <v>1</v>
      </c>
      <c r="N281">
        <v>5</v>
      </c>
      <c r="O281">
        <v>4</v>
      </c>
      <c r="P281">
        <v>53</v>
      </c>
      <c r="Q281">
        <v>28</v>
      </c>
      <c r="R281">
        <v>6</v>
      </c>
      <c r="S281">
        <v>11</v>
      </c>
      <c r="T281">
        <v>245</v>
      </c>
      <c r="U281">
        <v>47</v>
      </c>
      <c r="V281">
        <v>2</v>
      </c>
      <c r="W281">
        <v>63</v>
      </c>
    </row>
    <row r="282" spans="1:23" x14ac:dyDescent="0.2">
      <c r="A282" t="s">
        <v>440</v>
      </c>
      <c r="B282" t="s">
        <v>157</v>
      </c>
      <c r="C282">
        <v>6.3851914405822754</v>
      </c>
      <c r="D282">
        <v>7127</v>
      </c>
      <c r="E282">
        <v>9963</v>
      </c>
      <c r="F282">
        <v>17</v>
      </c>
      <c r="G282">
        <v>16</v>
      </c>
      <c r="H282">
        <v>0</v>
      </c>
      <c r="I282">
        <v>1.0327868852459019</v>
      </c>
      <c r="J282">
        <v>1.96875</v>
      </c>
      <c r="K282">
        <v>1.90625</v>
      </c>
      <c r="L282">
        <v>4</v>
      </c>
      <c r="M282">
        <v>0</v>
      </c>
      <c r="N282">
        <v>2</v>
      </c>
      <c r="O282">
        <v>2</v>
      </c>
      <c r="P282">
        <v>122</v>
      </c>
      <c r="Q282">
        <v>64</v>
      </c>
      <c r="R282">
        <v>16</v>
      </c>
      <c r="S282">
        <v>21</v>
      </c>
      <c r="T282">
        <v>1218</v>
      </c>
      <c r="U282">
        <v>304</v>
      </c>
      <c r="V282">
        <v>0</v>
      </c>
      <c r="W282">
        <v>126</v>
      </c>
    </row>
    <row r="283" spans="1:23" x14ac:dyDescent="0.2">
      <c r="A283" t="s">
        <v>441</v>
      </c>
      <c r="B283" t="s">
        <v>157</v>
      </c>
      <c r="C283">
        <v>68.201961517333984</v>
      </c>
      <c r="D283">
        <v>2161</v>
      </c>
      <c r="E283">
        <v>5663</v>
      </c>
      <c r="F283">
        <v>10</v>
      </c>
      <c r="G283">
        <v>9</v>
      </c>
      <c r="H283">
        <v>0.67924528301886788</v>
      </c>
      <c r="I283">
        <v>1</v>
      </c>
      <c r="J283">
        <v>1.4905660377358489</v>
      </c>
      <c r="K283">
        <v>1.4905660377358489</v>
      </c>
      <c r="L283">
        <v>5.8888888888888893</v>
      </c>
      <c r="M283">
        <v>8</v>
      </c>
      <c r="N283">
        <v>1</v>
      </c>
      <c r="O283">
        <v>2</v>
      </c>
      <c r="P283">
        <v>79</v>
      </c>
      <c r="Q283">
        <v>53</v>
      </c>
      <c r="R283">
        <v>9</v>
      </c>
      <c r="S283">
        <v>10</v>
      </c>
      <c r="T283">
        <v>451</v>
      </c>
      <c r="U283">
        <v>74</v>
      </c>
      <c r="V283">
        <v>36</v>
      </c>
      <c r="W283">
        <v>79</v>
      </c>
    </row>
    <row r="284" spans="1:23" x14ac:dyDescent="0.2">
      <c r="A284" t="s">
        <v>442</v>
      </c>
      <c r="B284" t="s">
        <v>157</v>
      </c>
      <c r="C284">
        <v>2.6519672870635982</v>
      </c>
      <c r="D284">
        <v>253</v>
      </c>
      <c r="E284">
        <v>451</v>
      </c>
      <c r="F284">
        <v>11</v>
      </c>
      <c r="G284">
        <v>9</v>
      </c>
      <c r="H284">
        <v>2.7162162162162158</v>
      </c>
      <c r="I284">
        <v>1</v>
      </c>
      <c r="J284">
        <v>1.459459459459459</v>
      </c>
      <c r="K284">
        <v>1.459459459459459</v>
      </c>
      <c r="L284">
        <v>8.2222222222222214</v>
      </c>
      <c r="M284">
        <v>4</v>
      </c>
      <c r="N284">
        <v>1</v>
      </c>
      <c r="O284">
        <v>2</v>
      </c>
      <c r="P284">
        <v>108</v>
      </c>
      <c r="Q284">
        <v>74</v>
      </c>
      <c r="R284">
        <v>9</v>
      </c>
      <c r="S284">
        <v>11</v>
      </c>
      <c r="T284">
        <v>706</v>
      </c>
      <c r="U284">
        <v>83</v>
      </c>
      <c r="V284">
        <v>201</v>
      </c>
      <c r="W284">
        <v>108</v>
      </c>
    </row>
    <row r="285" spans="1:23" x14ac:dyDescent="0.2">
      <c r="A285" t="s">
        <v>443</v>
      </c>
      <c r="B285" t="s">
        <v>157</v>
      </c>
      <c r="C285">
        <v>23.588884353637699</v>
      </c>
      <c r="D285">
        <v>266</v>
      </c>
      <c r="E285">
        <v>370</v>
      </c>
      <c r="F285">
        <v>8</v>
      </c>
      <c r="G285">
        <v>7</v>
      </c>
      <c r="H285">
        <v>1.5106382978723401</v>
      </c>
      <c r="I285">
        <v>1.130434782608696</v>
      </c>
      <c r="J285">
        <v>1.6595744680851059</v>
      </c>
      <c r="K285">
        <v>1.468085106382979</v>
      </c>
      <c r="L285">
        <v>6.7142857142857144</v>
      </c>
      <c r="M285">
        <v>2</v>
      </c>
      <c r="N285">
        <v>2</v>
      </c>
      <c r="O285">
        <v>2</v>
      </c>
      <c r="P285">
        <v>69</v>
      </c>
      <c r="Q285">
        <v>47</v>
      </c>
      <c r="R285">
        <v>7</v>
      </c>
      <c r="S285">
        <v>15</v>
      </c>
      <c r="T285">
        <v>627</v>
      </c>
      <c r="U285">
        <v>92</v>
      </c>
      <c r="V285">
        <v>71</v>
      </c>
      <c r="W285">
        <v>78</v>
      </c>
    </row>
    <row r="286" spans="1:23" x14ac:dyDescent="0.2">
      <c r="A286" t="s">
        <v>444</v>
      </c>
      <c r="B286" t="s">
        <v>157</v>
      </c>
      <c r="C286">
        <v>3370.0302331447601</v>
      </c>
      <c r="D286">
        <v>3180</v>
      </c>
      <c r="E286">
        <v>6547</v>
      </c>
      <c r="F286">
        <v>10</v>
      </c>
      <c r="G286">
        <v>9</v>
      </c>
      <c r="H286">
        <v>55861738986339.883</v>
      </c>
      <c r="I286">
        <v>1.019047619047619</v>
      </c>
      <c r="J286">
        <v>2.0776699029126209</v>
      </c>
      <c r="K286">
        <v>2.0388349514563111</v>
      </c>
      <c r="L286">
        <v>11.444444444444439</v>
      </c>
      <c r="M286">
        <v>1212982689600000</v>
      </c>
      <c r="N286">
        <v>2</v>
      </c>
      <c r="O286">
        <v>4</v>
      </c>
      <c r="P286">
        <v>210</v>
      </c>
      <c r="Q286">
        <v>103</v>
      </c>
      <c r="R286">
        <v>9</v>
      </c>
      <c r="S286">
        <v>19</v>
      </c>
      <c r="T286">
        <v>1743</v>
      </c>
      <c r="U286">
        <v>144</v>
      </c>
      <c r="V286">
        <v>5753759115593007</v>
      </c>
      <c r="W286">
        <v>214</v>
      </c>
    </row>
    <row r="287" spans="1:23" x14ac:dyDescent="0.2">
      <c r="A287" t="s">
        <v>445</v>
      </c>
      <c r="B287" t="s">
        <v>158</v>
      </c>
      <c r="C287" t="s">
        <v>159</v>
      </c>
      <c r="D287" t="s">
        <v>159</v>
      </c>
      <c r="E287" t="s">
        <v>159</v>
      </c>
      <c r="F287" t="s">
        <v>159</v>
      </c>
      <c r="G287" t="s">
        <v>159</v>
      </c>
      <c r="H287" t="s">
        <v>159</v>
      </c>
      <c r="I287" t="s">
        <v>159</v>
      </c>
      <c r="J287" t="s">
        <v>159</v>
      </c>
      <c r="K287" t="s">
        <v>159</v>
      </c>
      <c r="L287" t="s">
        <v>159</v>
      </c>
      <c r="M287" t="s">
        <v>159</v>
      </c>
      <c r="N287" t="s">
        <v>159</v>
      </c>
      <c r="O287" t="s">
        <v>159</v>
      </c>
      <c r="P287" t="s">
        <v>159</v>
      </c>
      <c r="Q287" t="s">
        <v>159</v>
      </c>
      <c r="R287" t="s">
        <v>159</v>
      </c>
      <c r="S287" t="s">
        <v>159</v>
      </c>
      <c r="T287" t="s">
        <v>159</v>
      </c>
      <c r="U287" t="s">
        <v>159</v>
      </c>
      <c r="V287" t="s">
        <v>159</v>
      </c>
      <c r="W287" t="s">
        <v>159</v>
      </c>
    </row>
    <row r="288" spans="1:23" x14ac:dyDescent="0.2">
      <c r="A288" t="s">
        <v>446</v>
      </c>
      <c r="B288" t="s">
        <v>157</v>
      </c>
      <c r="C288">
        <v>6.3034210205078116</v>
      </c>
      <c r="D288">
        <v>7405</v>
      </c>
      <c r="E288">
        <v>12033</v>
      </c>
      <c r="F288">
        <v>17</v>
      </c>
      <c r="G288">
        <v>16</v>
      </c>
      <c r="H288">
        <v>0</v>
      </c>
      <c r="I288">
        <v>1.032520325203252</v>
      </c>
      <c r="J288">
        <v>1.984375</v>
      </c>
      <c r="K288">
        <v>1.921875</v>
      </c>
      <c r="L288">
        <v>4</v>
      </c>
      <c r="M288">
        <v>0</v>
      </c>
      <c r="N288">
        <v>2</v>
      </c>
      <c r="O288">
        <v>2</v>
      </c>
      <c r="P288">
        <v>123</v>
      </c>
      <c r="Q288">
        <v>64</v>
      </c>
      <c r="R288">
        <v>16</v>
      </c>
      <c r="S288">
        <v>21</v>
      </c>
      <c r="T288">
        <v>1217</v>
      </c>
      <c r="U288">
        <v>304</v>
      </c>
      <c r="V288">
        <v>0</v>
      </c>
      <c r="W288">
        <v>127</v>
      </c>
    </row>
    <row r="289" spans="1:23" x14ac:dyDescent="0.2">
      <c r="A289" t="s">
        <v>447</v>
      </c>
      <c r="B289" t="s">
        <v>157</v>
      </c>
      <c r="C289">
        <v>242.2588746547699</v>
      </c>
      <c r="D289">
        <v>358</v>
      </c>
      <c r="E289">
        <v>2615</v>
      </c>
      <c r="F289">
        <v>6</v>
      </c>
      <c r="G289">
        <v>5</v>
      </c>
      <c r="H289">
        <v>2.034782608695652</v>
      </c>
      <c r="I289">
        <v>1.6647398843930641</v>
      </c>
      <c r="J289">
        <v>2.5043478260869572</v>
      </c>
      <c r="K289">
        <v>1.5043478260869561</v>
      </c>
      <c r="L289">
        <v>23</v>
      </c>
      <c r="M289">
        <v>6</v>
      </c>
      <c r="N289">
        <v>3</v>
      </c>
      <c r="O289">
        <v>2</v>
      </c>
      <c r="P289">
        <v>173</v>
      </c>
      <c r="Q289">
        <v>115</v>
      </c>
      <c r="R289">
        <v>5</v>
      </c>
      <c r="S289">
        <v>16</v>
      </c>
      <c r="T289">
        <v>1552</v>
      </c>
      <c r="U289">
        <v>65</v>
      </c>
      <c r="V289">
        <v>234</v>
      </c>
      <c r="W289">
        <v>288</v>
      </c>
    </row>
    <row r="290" spans="1:23" x14ac:dyDescent="0.2">
      <c r="A290" t="s">
        <v>448</v>
      </c>
      <c r="B290" t="s">
        <v>157</v>
      </c>
      <c r="C290">
        <v>3416.5789694786072</v>
      </c>
      <c r="D290">
        <v>2898</v>
      </c>
      <c r="E290">
        <v>5518</v>
      </c>
      <c r="F290">
        <v>10</v>
      </c>
      <c r="G290">
        <v>9</v>
      </c>
      <c r="H290">
        <v>55861738986339.883</v>
      </c>
      <c r="I290">
        <v>1.019047619047619</v>
      </c>
      <c r="J290">
        <v>2.0776699029126209</v>
      </c>
      <c r="K290">
        <v>2.0388349514563111</v>
      </c>
      <c r="L290">
        <v>11.444444444444439</v>
      </c>
      <c r="M290">
        <v>1212982689600000</v>
      </c>
      <c r="N290">
        <v>2</v>
      </c>
      <c r="O290">
        <v>4</v>
      </c>
      <c r="P290">
        <v>210</v>
      </c>
      <c r="Q290">
        <v>103</v>
      </c>
      <c r="R290">
        <v>9</v>
      </c>
      <c r="S290">
        <v>19</v>
      </c>
      <c r="T290">
        <v>1743</v>
      </c>
      <c r="U290">
        <v>144</v>
      </c>
      <c r="V290">
        <v>5753759115593007</v>
      </c>
      <c r="W290">
        <v>214</v>
      </c>
    </row>
    <row r="291" spans="1:23" x14ac:dyDescent="0.2">
      <c r="A291" t="s">
        <v>449</v>
      </c>
      <c r="B291" t="s">
        <v>158</v>
      </c>
      <c r="C291" t="s">
        <v>159</v>
      </c>
      <c r="D291" t="s">
        <v>159</v>
      </c>
      <c r="E291" t="s">
        <v>159</v>
      </c>
      <c r="F291" t="s">
        <v>159</v>
      </c>
      <c r="G291" t="s">
        <v>159</v>
      </c>
      <c r="H291" t="s">
        <v>159</v>
      </c>
      <c r="I291" t="s">
        <v>159</v>
      </c>
      <c r="J291" t="s">
        <v>159</v>
      </c>
      <c r="K291" t="s">
        <v>159</v>
      </c>
      <c r="L291" t="s">
        <v>159</v>
      </c>
      <c r="M291" t="s">
        <v>159</v>
      </c>
      <c r="N291" t="s">
        <v>159</v>
      </c>
      <c r="O291" t="s">
        <v>159</v>
      </c>
      <c r="P291" t="s">
        <v>159</v>
      </c>
      <c r="Q291" t="s">
        <v>159</v>
      </c>
      <c r="R291" t="s">
        <v>159</v>
      </c>
      <c r="S291" t="s">
        <v>159</v>
      </c>
      <c r="T291" t="s">
        <v>159</v>
      </c>
      <c r="U291" t="s">
        <v>159</v>
      </c>
      <c r="V291" t="s">
        <v>159</v>
      </c>
      <c r="W291" t="s">
        <v>159</v>
      </c>
    </row>
    <row r="292" spans="1:23" x14ac:dyDescent="0.2">
      <c r="A292" t="s">
        <v>450</v>
      </c>
      <c r="B292" t="s">
        <v>158</v>
      </c>
      <c r="C292" t="s">
        <v>159</v>
      </c>
      <c r="D292" t="s">
        <v>159</v>
      </c>
      <c r="E292" t="s">
        <v>159</v>
      </c>
      <c r="F292" t="s">
        <v>159</v>
      </c>
      <c r="G292" t="s">
        <v>159</v>
      </c>
      <c r="H292" t="s">
        <v>159</v>
      </c>
      <c r="I292" t="s">
        <v>159</v>
      </c>
      <c r="J292" t="s">
        <v>159</v>
      </c>
      <c r="K292" t="s">
        <v>159</v>
      </c>
      <c r="L292" t="s">
        <v>159</v>
      </c>
      <c r="M292" t="s">
        <v>159</v>
      </c>
      <c r="N292" t="s">
        <v>159</v>
      </c>
      <c r="O292" t="s">
        <v>159</v>
      </c>
      <c r="P292" t="s">
        <v>159</v>
      </c>
      <c r="Q292" t="s">
        <v>159</v>
      </c>
      <c r="R292" t="s">
        <v>159</v>
      </c>
      <c r="S292" t="s">
        <v>159</v>
      </c>
      <c r="T292" t="s">
        <v>159</v>
      </c>
      <c r="U292" t="s">
        <v>159</v>
      </c>
      <c r="V292" t="s">
        <v>159</v>
      </c>
      <c r="W292" t="s">
        <v>159</v>
      </c>
    </row>
    <row r="293" spans="1:23" x14ac:dyDescent="0.2">
      <c r="A293" t="s">
        <v>451</v>
      </c>
      <c r="B293" t="s">
        <v>157</v>
      </c>
      <c r="C293">
        <v>2409.2886075973511</v>
      </c>
      <c r="D293">
        <v>1519</v>
      </c>
      <c r="E293">
        <v>2412</v>
      </c>
      <c r="F293">
        <v>9</v>
      </c>
      <c r="G293">
        <v>8</v>
      </c>
      <c r="H293">
        <v>0.67441860465116277</v>
      </c>
      <c r="I293">
        <v>1</v>
      </c>
      <c r="J293">
        <v>1.7906976744186049</v>
      </c>
      <c r="K293">
        <v>1.7906976744186049</v>
      </c>
      <c r="L293">
        <v>5.375</v>
      </c>
      <c r="M293">
        <v>7</v>
      </c>
      <c r="N293">
        <v>1</v>
      </c>
      <c r="O293">
        <v>3</v>
      </c>
      <c r="P293">
        <v>77</v>
      </c>
      <c r="Q293">
        <v>43</v>
      </c>
      <c r="R293">
        <v>8</v>
      </c>
      <c r="S293">
        <v>9</v>
      </c>
      <c r="T293">
        <v>310</v>
      </c>
      <c r="U293">
        <v>51</v>
      </c>
      <c r="V293">
        <v>29</v>
      </c>
      <c r="W293">
        <v>77</v>
      </c>
    </row>
    <row r="294" spans="1:23" x14ac:dyDescent="0.2">
      <c r="A294" t="s">
        <v>452</v>
      </c>
      <c r="B294" t="s">
        <v>158</v>
      </c>
      <c r="C294" t="s">
        <v>159</v>
      </c>
      <c r="D294" t="s">
        <v>159</v>
      </c>
      <c r="E294" t="s">
        <v>159</v>
      </c>
      <c r="F294" t="s">
        <v>159</v>
      </c>
      <c r="G294" t="s">
        <v>159</v>
      </c>
      <c r="H294" t="s">
        <v>159</v>
      </c>
      <c r="I294" t="s">
        <v>159</v>
      </c>
      <c r="J294" t="s">
        <v>159</v>
      </c>
      <c r="K294" t="s">
        <v>159</v>
      </c>
      <c r="L294" t="s">
        <v>159</v>
      </c>
      <c r="M294" t="s">
        <v>159</v>
      </c>
      <c r="N294" t="s">
        <v>159</v>
      </c>
      <c r="O294" t="s">
        <v>159</v>
      </c>
      <c r="P294" t="s">
        <v>159</v>
      </c>
      <c r="Q294" t="s">
        <v>159</v>
      </c>
      <c r="R294" t="s">
        <v>159</v>
      </c>
      <c r="S294" t="s">
        <v>159</v>
      </c>
      <c r="T294" t="s">
        <v>159</v>
      </c>
      <c r="U294" t="s">
        <v>159</v>
      </c>
      <c r="V294" t="s">
        <v>159</v>
      </c>
      <c r="W294" t="s">
        <v>159</v>
      </c>
    </row>
    <row r="295" spans="1:23" x14ac:dyDescent="0.2">
      <c r="A295" t="s">
        <v>453</v>
      </c>
      <c r="B295" t="s">
        <v>157</v>
      </c>
      <c r="C295">
        <v>851.52130270004272</v>
      </c>
      <c r="D295">
        <v>1963</v>
      </c>
      <c r="E295">
        <v>3155</v>
      </c>
      <c r="F295">
        <v>10</v>
      </c>
      <c r="G295">
        <v>9</v>
      </c>
      <c r="H295">
        <v>57275181875660.273</v>
      </c>
      <c r="I295">
        <v>1.029126213592233</v>
      </c>
      <c r="J295">
        <v>2.058252427184466</v>
      </c>
      <c r="K295">
        <v>2</v>
      </c>
      <c r="L295">
        <v>11.444444444444439</v>
      </c>
      <c r="M295">
        <v>1212982689600000</v>
      </c>
      <c r="N295">
        <v>2</v>
      </c>
      <c r="O295">
        <v>4</v>
      </c>
      <c r="P295">
        <v>206</v>
      </c>
      <c r="Q295">
        <v>103</v>
      </c>
      <c r="R295">
        <v>9</v>
      </c>
      <c r="S295">
        <v>19</v>
      </c>
      <c r="T295">
        <v>1745</v>
      </c>
      <c r="U295">
        <v>144</v>
      </c>
      <c r="V295">
        <v>5899343733193007</v>
      </c>
      <c r="W295">
        <v>212</v>
      </c>
    </row>
    <row r="296" spans="1:23" x14ac:dyDescent="0.2">
      <c r="A296" t="s">
        <v>454</v>
      </c>
      <c r="B296" t="s">
        <v>157</v>
      </c>
      <c r="C296">
        <v>5833.1919305324554</v>
      </c>
      <c r="D296">
        <v>3629</v>
      </c>
      <c r="E296">
        <v>4139</v>
      </c>
      <c r="F296">
        <v>13</v>
      </c>
      <c r="G296">
        <v>12</v>
      </c>
      <c r="H296">
        <v>5375.391304347826</v>
      </c>
      <c r="I296">
        <v>1.2068965517241379</v>
      </c>
      <c r="J296">
        <v>1.5217391304347829</v>
      </c>
      <c r="K296">
        <v>1.2608695652173909</v>
      </c>
      <c r="L296">
        <v>3.833333333333333</v>
      </c>
      <c r="M296">
        <v>39701</v>
      </c>
      <c r="N296">
        <v>2</v>
      </c>
      <c r="O296">
        <v>3</v>
      </c>
      <c r="P296">
        <v>58</v>
      </c>
      <c r="Q296">
        <v>46</v>
      </c>
      <c r="R296">
        <v>12</v>
      </c>
      <c r="S296">
        <v>25</v>
      </c>
      <c r="T296">
        <v>1080</v>
      </c>
      <c r="U296">
        <v>275</v>
      </c>
      <c r="V296">
        <v>247268</v>
      </c>
      <c r="W296">
        <v>70</v>
      </c>
    </row>
    <row r="297" spans="1:23" x14ac:dyDescent="0.2">
      <c r="A297" t="s">
        <v>455</v>
      </c>
      <c r="B297" t="s">
        <v>157</v>
      </c>
      <c r="C297">
        <v>41.074532032012939</v>
      </c>
      <c r="D297">
        <v>475</v>
      </c>
      <c r="E297">
        <v>538</v>
      </c>
      <c r="F297">
        <v>9</v>
      </c>
      <c r="G297">
        <v>8</v>
      </c>
      <c r="H297">
        <v>0.65116279069767447</v>
      </c>
      <c r="I297">
        <v>1</v>
      </c>
      <c r="J297">
        <v>1.441860465116279</v>
      </c>
      <c r="K297">
        <v>1.441860465116279</v>
      </c>
      <c r="L297">
        <v>5.375</v>
      </c>
      <c r="M297">
        <v>7</v>
      </c>
      <c r="N297">
        <v>1</v>
      </c>
      <c r="O297">
        <v>2</v>
      </c>
      <c r="P297">
        <v>62</v>
      </c>
      <c r="Q297">
        <v>43</v>
      </c>
      <c r="R297">
        <v>8</v>
      </c>
      <c r="S297">
        <v>9</v>
      </c>
      <c r="T297">
        <v>325</v>
      </c>
      <c r="U297">
        <v>58</v>
      </c>
      <c r="V297">
        <v>28</v>
      </c>
      <c r="W297">
        <v>62</v>
      </c>
    </row>
    <row r="298" spans="1:23" x14ac:dyDescent="0.2">
      <c r="A298" t="s">
        <v>456</v>
      </c>
      <c r="B298" t="s">
        <v>157</v>
      </c>
      <c r="C298">
        <v>556.68573403358459</v>
      </c>
      <c r="D298">
        <v>1205</v>
      </c>
      <c r="E298">
        <v>21286</v>
      </c>
      <c r="F298">
        <v>7</v>
      </c>
      <c r="G298">
        <v>6</v>
      </c>
      <c r="H298">
        <v>7.1428571428571425E-2</v>
      </c>
      <c r="I298">
        <v>1.188679245283019</v>
      </c>
      <c r="J298">
        <v>2.25</v>
      </c>
      <c r="K298">
        <v>1.892857142857143</v>
      </c>
      <c r="L298">
        <v>4.666666666666667</v>
      </c>
      <c r="M298">
        <v>1</v>
      </c>
      <c r="N298">
        <v>5</v>
      </c>
      <c r="O298">
        <v>4</v>
      </c>
      <c r="P298">
        <v>53</v>
      </c>
      <c r="Q298">
        <v>28</v>
      </c>
      <c r="R298">
        <v>6</v>
      </c>
      <c r="S298">
        <v>11</v>
      </c>
      <c r="T298">
        <v>245</v>
      </c>
      <c r="U298">
        <v>47</v>
      </c>
      <c r="V298">
        <v>2</v>
      </c>
      <c r="W298">
        <v>63</v>
      </c>
    </row>
    <row r="299" spans="1:23" x14ac:dyDescent="0.2">
      <c r="A299" t="s">
        <v>457</v>
      </c>
      <c r="B299" t="s">
        <v>157</v>
      </c>
      <c r="C299">
        <v>9.8346297740936279</v>
      </c>
      <c r="D299">
        <v>492</v>
      </c>
      <c r="E299">
        <v>369</v>
      </c>
      <c r="F299">
        <v>11</v>
      </c>
      <c r="G299">
        <v>10</v>
      </c>
      <c r="H299">
        <v>67.55</v>
      </c>
      <c r="I299">
        <v>1</v>
      </c>
      <c r="J299">
        <v>1.5249999999999999</v>
      </c>
      <c r="K299">
        <v>1.5249999999999999</v>
      </c>
      <c r="L299">
        <v>4</v>
      </c>
      <c r="M299">
        <v>595</v>
      </c>
      <c r="N299">
        <v>1</v>
      </c>
      <c r="O299">
        <v>2</v>
      </c>
      <c r="P299">
        <v>61</v>
      </c>
      <c r="Q299">
        <v>40</v>
      </c>
      <c r="R299">
        <v>10</v>
      </c>
      <c r="S299">
        <v>11</v>
      </c>
      <c r="T299">
        <v>379</v>
      </c>
      <c r="U299">
        <v>92</v>
      </c>
      <c r="V299">
        <v>2702</v>
      </c>
      <c r="W299">
        <v>61</v>
      </c>
    </row>
    <row r="300" spans="1:23" x14ac:dyDescent="0.2">
      <c r="A300" t="s">
        <v>458</v>
      </c>
      <c r="B300" t="s">
        <v>158</v>
      </c>
      <c r="C300" t="s">
        <v>159</v>
      </c>
      <c r="D300" t="s">
        <v>159</v>
      </c>
      <c r="E300" t="s">
        <v>159</v>
      </c>
      <c r="F300" t="s">
        <v>159</v>
      </c>
      <c r="G300" t="s">
        <v>159</v>
      </c>
      <c r="H300" t="s">
        <v>159</v>
      </c>
      <c r="I300" t="s">
        <v>159</v>
      </c>
      <c r="J300" t="s">
        <v>159</v>
      </c>
      <c r="K300" t="s">
        <v>159</v>
      </c>
      <c r="L300" t="s">
        <v>159</v>
      </c>
      <c r="M300" t="s">
        <v>159</v>
      </c>
      <c r="N300" t="s">
        <v>159</v>
      </c>
      <c r="O300" t="s">
        <v>159</v>
      </c>
      <c r="P300" t="s">
        <v>159</v>
      </c>
      <c r="Q300" t="s">
        <v>159</v>
      </c>
      <c r="R300" t="s">
        <v>159</v>
      </c>
      <c r="S300" t="s">
        <v>159</v>
      </c>
      <c r="T300" t="s">
        <v>159</v>
      </c>
      <c r="U300" t="s">
        <v>159</v>
      </c>
      <c r="V300" t="s">
        <v>159</v>
      </c>
      <c r="W300" t="s">
        <v>159</v>
      </c>
    </row>
    <row r="301" spans="1:23" x14ac:dyDescent="0.2">
      <c r="A301" t="s">
        <v>459</v>
      </c>
      <c r="B301" t="s">
        <v>157</v>
      </c>
      <c r="C301">
        <v>4.4281425476074219</v>
      </c>
      <c r="D301">
        <v>260</v>
      </c>
      <c r="E301">
        <v>480</v>
      </c>
      <c r="F301">
        <v>11</v>
      </c>
      <c r="G301">
        <v>9</v>
      </c>
      <c r="H301">
        <v>2.7162162162162158</v>
      </c>
      <c r="I301">
        <v>1</v>
      </c>
      <c r="J301">
        <v>1.459459459459459</v>
      </c>
      <c r="K301">
        <v>1.459459459459459</v>
      </c>
      <c r="L301">
        <v>8.2222222222222214</v>
      </c>
      <c r="M301">
        <v>4</v>
      </c>
      <c r="N301">
        <v>1</v>
      </c>
      <c r="O301">
        <v>2</v>
      </c>
      <c r="P301">
        <v>108</v>
      </c>
      <c r="Q301">
        <v>74</v>
      </c>
      <c r="R301">
        <v>9</v>
      </c>
      <c r="S301">
        <v>11</v>
      </c>
      <c r="T301">
        <v>706</v>
      </c>
      <c r="U301">
        <v>83</v>
      </c>
      <c r="V301">
        <v>201</v>
      </c>
      <c r="W301">
        <v>108</v>
      </c>
    </row>
    <row r="302" spans="1:23" x14ac:dyDescent="0.2">
      <c r="A302" t="s">
        <v>460</v>
      </c>
      <c r="B302" t="s">
        <v>157</v>
      </c>
      <c r="C302">
        <v>89.203535079956055</v>
      </c>
      <c r="D302">
        <v>849</v>
      </c>
      <c r="E302">
        <v>933</v>
      </c>
      <c r="F302">
        <v>9</v>
      </c>
      <c r="G302">
        <v>8</v>
      </c>
      <c r="H302">
        <v>0.67441860465116277</v>
      </c>
      <c r="I302">
        <v>1</v>
      </c>
      <c r="J302">
        <v>1.930232558139535</v>
      </c>
      <c r="K302">
        <v>1.930232558139535</v>
      </c>
      <c r="L302">
        <v>5.375</v>
      </c>
      <c r="M302">
        <v>7</v>
      </c>
      <c r="N302">
        <v>1</v>
      </c>
      <c r="O302">
        <v>3</v>
      </c>
      <c r="P302">
        <v>83</v>
      </c>
      <c r="Q302">
        <v>43</v>
      </c>
      <c r="R302">
        <v>8</v>
      </c>
      <c r="S302">
        <v>9</v>
      </c>
      <c r="T302">
        <v>304</v>
      </c>
      <c r="U302">
        <v>51</v>
      </c>
      <c r="V302">
        <v>29</v>
      </c>
      <c r="W302">
        <v>83</v>
      </c>
    </row>
    <row r="303" spans="1:23" x14ac:dyDescent="0.2">
      <c r="A303" t="s">
        <v>461</v>
      </c>
      <c r="B303" t="s">
        <v>157</v>
      </c>
      <c r="C303">
        <v>5.7591135501861572</v>
      </c>
      <c r="D303">
        <v>6688</v>
      </c>
      <c r="E303">
        <v>9907</v>
      </c>
      <c r="F303">
        <v>17</v>
      </c>
      <c r="G303">
        <v>16</v>
      </c>
      <c r="H303">
        <v>0</v>
      </c>
      <c r="I303">
        <v>1.032520325203252</v>
      </c>
      <c r="J303">
        <v>1.984375</v>
      </c>
      <c r="K303">
        <v>1.921875</v>
      </c>
      <c r="L303">
        <v>4</v>
      </c>
      <c r="M303">
        <v>0</v>
      </c>
      <c r="N303">
        <v>2</v>
      </c>
      <c r="O303">
        <v>2</v>
      </c>
      <c r="P303">
        <v>123</v>
      </c>
      <c r="Q303">
        <v>64</v>
      </c>
      <c r="R303">
        <v>16</v>
      </c>
      <c r="S303">
        <v>21</v>
      </c>
      <c r="T303">
        <v>1217</v>
      </c>
      <c r="U303">
        <v>304</v>
      </c>
      <c r="V303">
        <v>0</v>
      </c>
      <c r="W303">
        <v>127</v>
      </c>
    </row>
    <row r="304" spans="1:23" x14ac:dyDescent="0.2">
      <c r="A304" t="s">
        <v>462</v>
      </c>
      <c r="B304" t="s">
        <v>157</v>
      </c>
      <c r="C304">
        <v>3.6496093273162842</v>
      </c>
      <c r="D304">
        <v>261</v>
      </c>
      <c r="E304">
        <v>486</v>
      </c>
      <c r="F304">
        <v>11</v>
      </c>
      <c r="G304">
        <v>9</v>
      </c>
      <c r="H304">
        <v>2.7162162162162158</v>
      </c>
      <c r="I304">
        <v>1</v>
      </c>
      <c r="J304">
        <v>1.459459459459459</v>
      </c>
      <c r="K304">
        <v>1.459459459459459</v>
      </c>
      <c r="L304">
        <v>8.2222222222222214</v>
      </c>
      <c r="M304">
        <v>4</v>
      </c>
      <c r="N304">
        <v>1</v>
      </c>
      <c r="O304">
        <v>2</v>
      </c>
      <c r="P304">
        <v>108</v>
      </c>
      <c r="Q304">
        <v>74</v>
      </c>
      <c r="R304">
        <v>9</v>
      </c>
      <c r="S304">
        <v>11</v>
      </c>
      <c r="T304">
        <v>706</v>
      </c>
      <c r="U304">
        <v>83</v>
      </c>
      <c r="V304">
        <v>201</v>
      </c>
      <c r="W304">
        <v>108</v>
      </c>
    </row>
    <row r="305" spans="1:23" x14ac:dyDescent="0.2">
      <c r="A305" t="s">
        <v>463</v>
      </c>
      <c r="B305" t="s">
        <v>157</v>
      </c>
      <c r="C305">
        <v>235.6761639118194</v>
      </c>
      <c r="D305">
        <v>769</v>
      </c>
      <c r="E305">
        <v>1065</v>
      </c>
      <c r="F305">
        <v>9</v>
      </c>
      <c r="G305">
        <v>8</v>
      </c>
      <c r="H305">
        <v>0.67441860465116277</v>
      </c>
      <c r="I305">
        <v>1</v>
      </c>
      <c r="J305">
        <v>1.7906976744186049</v>
      </c>
      <c r="K305">
        <v>1.7906976744186049</v>
      </c>
      <c r="L305">
        <v>5.375</v>
      </c>
      <c r="M305">
        <v>7</v>
      </c>
      <c r="N305">
        <v>1</v>
      </c>
      <c r="O305">
        <v>3</v>
      </c>
      <c r="P305">
        <v>77</v>
      </c>
      <c r="Q305">
        <v>43</v>
      </c>
      <c r="R305">
        <v>8</v>
      </c>
      <c r="S305">
        <v>9</v>
      </c>
      <c r="T305">
        <v>310</v>
      </c>
      <c r="U305">
        <v>51</v>
      </c>
      <c r="V305">
        <v>29</v>
      </c>
      <c r="W305">
        <v>77</v>
      </c>
    </row>
    <row r="306" spans="1:23" x14ac:dyDescent="0.2">
      <c r="A306" t="s">
        <v>464</v>
      </c>
      <c r="B306" t="s">
        <v>157</v>
      </c>
      <c r="C306">
        <v>397.8677179813385</v>
      </c>
      <c r="D306">
        <v>1986</v>
      </c>
      <c r="E306">
        <v>4239</v>
      </c>
      <c r="F306">
        <v>10</v>
      </c>
      <c r="G306">
        <v>9</v>
      </c>
      <c r="H306">
        <v>0.67924528301886788</v>
      </c>
      <c r="I306">
        <v>1</v>
      </c>
      <c r="J306">
        <v>1.4905660377358489</v>
      </c>
      <c r="K306">
        <v>1.4905660377358489</v>
      </c>
      <c r="L306">
        <v>5.8888888888888893</v>
      </c>
      <c r="M306">
        <v>8</v>
      </c>
      <c r="N306">
        <v>1</v>
      </c>
      <c r="O306">
        <v>2</v>
      </c>
      <c r="P306">
        <v>79</v>
      </c>
      <c r="Q306">
        <v>53</v>
      </c>
      <c r="R306">
        <v>9</v>
      </c>
      <c r="S306">
        <v>10</v>
      </c>
      <c r="T306">
        <v>451</v>
      </c>
      <c r="U306">
        <v>74</v>
      </c>
      <c r="V306">
        <v>36</v>
      </c>
      <c r="W306">
        <v>79</v>
      </c>
    </row>
    <row r="307" spans="1:23" x14ac:dyDescent="0.2">
      <c r="A307" t="s">
        <v>465</v>
      </c>
      <c r="B307" t="s">
        <v>157</v>
      </c>
      <c r="C307">
        <v>72.62180233001709</v>
      </c>
      <c r="D307">
        <v>615</v>
      </c>
      <c r="E307">
        <v>464</v>
      </c>
      <c r="F307">
        <v>11</v>
      </c>
      <c r="G307">
        <v>10</v>
      </c>
      <c r="H307">
        <v>151.17500000000001</v>
      </c>
      <c r="I307">
        <v>1</v>
      </c>
      <c r="J307">
        <v>1.5249999999999999</v>
      </c>
      <c r="K307">
        <v>1.5249999999999999</v>
      </c>
      <c r="L307">
        <v>4</v>
      </c>
      <c r="M307">
        <v>855</v>
      </c>
      <c r="N307">
        <v>1</v>
      </c>
      <c r="O307">
        <v>2</v>
      </c>
      <c r="P307">
        <v>61</v>
      </c>
      <c r="Q307">
        <v>40</v>
      </c>
      <c r="R307">
        <v>10</v>
      </c>
      <c r="S307">
        <v>11</v>
      </c>
      <c r="T307">
        <v>379</v>
      </c>
      <c r="U307">
        <v>92</v>
      </c>
      <c r="V307">
        <v>6047</v>
      </c>
      <c r="W307">
        <v>61</v>
      </c>
    </row>
    <row r="308" spans="1:23" x14ac:dyDescent="0.2">
      <c r="A308" t="s">
        <v>466</v>
      </c>
      <c r="B308" t="s">
        <v>157</v>
      </c>
      <c r="C308">
        <v>152.5422565937042</v>
      </c>
      <c r="D308">
        <v>933</v>
      </c>
      <c r="E308">
        <v>20678</v>
      </c>
      <c r="F308">
        <v>7</v>
      </c>
      <c r="G308">
        <v>6</v>
      </c>
      <c r="H308">
        <v>3.125E-2</v>
      </c>
      <c r="I308">
        <v>1</v>
      </c>
      <c r="J308">
        <v>2.78125</v>
      </c>
      <c r="K308">
        <v>2.78125</v>
      </c>
      <c r="L308">
        <v>5.333333333333333</v>
      </c>
      <c r="M308">
        <v>1</v>
      </c>
      <c r="N308">
        <v>1</v>
      </c>
      <c r="O308">
        <v>5</v>
      </c>
      <c r="P308">
        <v>89</v>
      </c>
      <c r="Q308">
        <v>32</v>
      </c>
      <c r="R308">
        <v>6</v>
      </c>
      <c r="S308">
        <v>7</v>
      </c>
      <c r="T308">
        <v>135</v>
      </c>
      <c r="U308">
        <v>22</v>
      </c>
      <c r="V308">
        <v>1</v>
      </c>
      <c r="W308">
        <v>89</v>
      </c>
    </row>
    <row r="309" spans="1:23" x14ac:dyDescent="0.2">
      <c r="A309" t="s">
        <v>467</v>
      </c>
      <c r="B309" t="s">
        <v>157</v>
      </c>
      <c r="C309">
        <v>12.017269134521481</v>
      </c>
      <c r="D309">
        <v>13647</v>
      </c>
      <c r="E309">
        <v>27824</v>
      </c>
      <c r="F309">
        <v>17</v>
      </c>
      <c r="G309">
        <v>16</v>
      </c>
      <c r="H309">
        <v>0</v>
      </c>
      <c r="I309">
        <v>1.032520325203252</v>
      </c>
      <c r="J309">
        <v>1.984375</v>
      </c>
      <c r="K309">
        <v>1.921875</v>
      </c>
      <c r="L309">
        <v>4</v>
      </c>
      <c r="M309">
        <v>0</v>
      </c>
      <c r="N309">
        <v>2</v>
      </c>
      <c r="O309">
        <v>2</v>
      </c>
      <c r="P309">
        <v>123</v>
      </c>
      <c r="Q309">
        <v>64</v>
      </c>
      <c r="R309">
        <v>16</v>
      </c>
      <c r="S309">
        <v>21</v>
      </c>
      <c r="T309">
        <v>1217</v>
      </c>
      <c r="U309">
        <v>304</v>
      </c>
      <c r="V309">
        <v>0</v>
      </c>
      <c r="W309">
        <v>127</v>
      </c>
    </row>
    <row r="310" spans="1:23" x14ac:dyDescent="0.2">
      <c r="A310" t="s">
        <v>468</v>
      </c>
      <c r="B310" t="s">
        <v>157</v>
      </c>
      <c r="C310">
        <v>11.69922494888306</v>
      </c>
      <c r="D310">
        <v>299</v>
      </c>
      <c r="E310">
        <v>248</v>
      </c>
      <c r="F310">
        <v>8</v>
      </c>
      <c r="G310">
        <v>7</v>
      </c>
      <c r="H310">
        <v>0.6470588235294118</v>
      </c>
      <c r="I310">
        <v>1</v>
      </c>
      <c r="J310">
        <v>1.8235294117647061</v>
      </c>
      <c r="K310">
        <v>1.8235294117647061</v>
      </c>
      <c r="L310">
        <v>4.8571428571428568</v>
      </c>
      <c r="M310">
        <v>6</v>
      </c>
      <c r="N310">
        <v>1</v>
      </c>
      <c r="O310">
        <v>3</v>
      </c>
      <c r="P310">
        <v>62</v>
      </c>
      <c r="Q310">
        <v>34</v>
      </c>
      <c r="R310">
        <v>7</v>
      </c>
      <c r="S310">
        <v>8</v>
      </c>
      <c r="T310">
        <v>210</v>
      </c>
      <c r="U310">
        <v>38</v>
      </c>
      <c r="V310">
        <v>22</v>
      </c>
      <c r="W310">
        <v>62</v>
      </c>
    </row>
    <row r="311" spans="1:23" x14ac:dyDescent="0.2">
      <c r="A311" t="s">
        <v>469</v>
      </c>
      <c r="B311" t="s">
        <v>158</v>
      </c>
      <c r="C311" t="s">
        <v>159</v>
      </c>
      <c r="D311" t="s">
        <v>159</v>
      </c>
      <c r="E311" t="s">
        <v>159</v>
      </c>
      <c r="F311" t="s">
        <v>159</v>
      </c>
      <c r="G311" t="s">
        <v>159</v>
      </c>
      <c r="H311" t="s">
        <v>159</v>
      </c>
      <c r="I311" t="s">
        <v>159</v>
      </c>
      <c r="J311" t="s">
        <v>159</v>
      </c>
      <c r="K311" t="s">
        <v>159</v>
      </c>
      <c r="L311" t="s">
        <v>159</v>
      </c>
      <c r="M311" t="s">
        <v>159</v>
      </c>
      <c r="N311" t="s">
        <v>159</v>
      </c>
      <c r="O311" t="s">
        <v>159</v>
      </c>
      <c r="P311" t="s">
        <v>159</v>
      </c>
      <c r="Q311" t="s">
        <v>159</v>
      </c>
      <c r="R311" t="s">
        <v>159</v>
      </c>
      <c r="S311" t="s">
        <v>159</v>
      </c>
      <c r="T311" t="s">
        <v>159</v>
      </c>
      <c r="U311" t="s">
        <v>159</v>
      </c>
      <c r="V311" t="s">
        <v>159</v>
      </c>
      <c r="W311" t="s">
        <v>159</v>
      </c>
    </row>
    <row r="312" spans="1:23" x14ac:dyDescent="0.2">
      <c r="A312" t="s">
        <v>470</v>
      </c>
      <c r="B312" t="s">
        <v>157</v>
      </c>
      <c r="C312">
        <v>0.37920284271240229</v>
      </c>
      <c r="D312">
        <v>59</v>
      </c>
      <c r="E312">
        <v>39</v>
      </c>
      <c r="F312">
        <v>11</v>
      </c>
      <c r="G312">
        <v>9</v>
      </c>
      <c r="H312">
        <v>2.8243243243243241</v>
      </c>
      <c r="I312">
        <v>1</v>
      </c>
      <c r="J312">
        <v>1.472972972972973</v>
      </c>
      <c r="K312">
        <v>1.472972972972973</v>
      </c>
      <c r="L312">
        <v>8.2222222222222214</v>
      </c>
      <c r="M312">
        <v>4</v>
      </c>
      <c r="N312">
        <v>1</v>
      </c>
      <c r="O312">
        <v>2</v>
      </c>
      <c r="P312">
        <v>109</v>
      </c>
      <c r="Q312">
        <v>74</v>
      </c>
      <c r="R312">
        <v>9</v>
      </c>
      <c r="S312">
        <v>11</v>
      </c>
      <c r="T312">
        <v>705</v>
      </c>
      <c r="U312">
        <v>84</v>
      </c>
      <c r="V312">
        <v>209</v>
      </c>
      <c r="W312">
        <v>109</v>
      </c>
    </row>
    <row r="313" spans="1:23" x14ac:dyDescent="0.2">
      <c r="A313" t="s">
        <v>471</v>
      </c>
      <c r="B313" t="s">
        <v>158</v>
      </c>
      <c r="C313" t="s">
        <v>159</v>
      </c>
      <c r="D313" t="s">
        <v>159</v>
      </c>
      <c r="E313" t="s">
        <v>159</v>
      </c>
      <c r="F313" t="s">
        <v>159</v>
      </c>
      <c r="G313" t="s">
        <v>159</v>
      </c>
      <c r="H313" t="s">
        <v>159</v>
      </c>
      <c r="I313" t="s">
        <v>159</v>
      </c>
      <c r="J313" t="s">
        <v>159</v>
      </c>
      <c r="K313" t="s">
        <v>159</v>
      </c>
      <c r="L313" t="s">
        <v>159</v>
      </c>
      <c r="M313" t="s">
        <v>159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  <c r="S313" t="s">
        <v>159</v>
      </c>
      <c r="T313" t="s">
        <v>159</v>
      </c>
      <c r="U313" t="s">
        <v>159</v>
      </c>
      <c r="V313" t="s">
        <v>159</v>
      </c>
      <c r="W313" t="s">
        <v>159</v>
      </c>
    </row>
    <row r="314" spans="1:23" x14ac:dyDescent="0.2">
      <c r="A314" t="s">
        <v>472</v>
      </c>
      <c r="B314" t="s">
        <v>157</v>
      </c>
      <c r="C314">
        <v>19.169922351837162</v>
      </c>
      <c r="D314">
        <v>346</v>
      </c>
      <c r="E314">
        <v>587</v>
      </c>
      <c r="F314">
        <v>9</v>
      </c>
      <c r="G314">
        <v>8</v>
      </c>
      <c r="H314">
        <v>129.25490196078431</v>
      </c>
      <c r="I314">
        <v>1.0543478260869561</v>
      </c>
      <c r="J314">
        <v>1.9019607843137261</v>
      </c>
      <c r="K314">
        <v>1.803921568627451</v>
      </c>
      <c r="L314">
        <v>6.375</v>
      </c>
      <c r="M314">
        <v>1056</v>
      </c>
      <c r="N314">
        <v>2</v>
      </c>
      <c r="O314">
        <v>3</v>
      </c>
      <c r="P314">
        <v>92</v>
      </c>
      <c r="Q314">
        <v>51</v>
      </c>
      <c r="R314">
        <v>8</v>
      </c>
      <c r="S314">
        <v>10</v>
      </c>
      <c r="T314">
        <v>413</v>
      </c>
      <c r="U314">
        <v>62</v>
      </c>
      <c r="V314">
        <v>6592</v>
      </c>
      <c r="W314">
        <v>97</v>
      </c>
    </row>
    <row r="315" spans="1:23" x14ac:dyDescent="0.2">
      <c r="A315" t="s">
        <v>473</v>
      </c>
      <c r="B315" t="s">
        <v>158</v>
      </c>
      <c r="C315" t="s">
        <v>159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  <c r="J315" t="s">
        <v>159</v>
      </c>
      <c r="K315" t="s">
        <v>159</v>
      </c>
      <c r="L315" t="s">
        <v>159</v>
      </c>
      <c r="M315" t="s">
        <v>159</v>
      </c>
      <c r="N315" t="s">
        <v>159</v>
      </c>
      <c r="O315" t="s">
        <v>159</v>
      </c>
      <c r="P315" t="s">
        <v>159</v>
      </c>
      <c r="Q315" t="s">
        <v>159</v>
      </c>
      <c r="R315" t="s">
        <v>159</v>
      </c>
      <c r="S315" t="s">
        <v>159</v>
      </c>
      <c r="T315" t="s">
        <v>159</v>
      </c>
      <c r="U315" t="s">
        <v>159</v>
      </c>
      <c r="V315" t="s">
        <v>159</v>
      </c>
      <c r="W315" t="s">
        <v>159</v>
      </c>
    </row>
    <row r="316" spans="1:23" x14ac:dyDescent="0.2">
      <c r="A316" t="s">
        <v>474</v>
      </c>
      <c r="B316" t="s">
        <v>157</v>
      </c>
      <c r="C316">
        <v>7.2624082565307617</v>
      </c>
      <c r="D316">
        <v>307</v>
      </c>
      <c r="E316">
        <v>550</v>
      </c>
      <c r="F316">
        <v>11</v>
      </c>
      <c r="G316">
        <v>9</v>
      </c>
      <c r="H316">
        <v>2.7162162162162158</v>
      </c>
      <c r="I316">
        <v>1</v>
      </c>
      <c r="J316">
        <v>1.459459459459459</v>
      </c>
      <c r="K316">
        <v>1.459459459459459</v>
      </c>
      <c r="L316">
        <v>8.2222222222222214</v>
      </c>
      <c r="M316">
        <v>4</v>
      </c>
      <c r="N316">
        <v>1</v>
      </c>
      <c r="O316">
        <v>2</v>
      </c>
      <c r="P316">
        <v>108</v>
      </c>
      <c r="Q316">
        <v>74</v>
      </c>
      <c r="R316">
        <v>9</v>
      </c>
      <c r="S316">
        <v>11</v>
      </c>
      <c r="T316">
        <v>706</v>
      </c>
      <c r="U316">
        <v>83</v>
      </c>
      <c r="V316">
        <v>201</v>
      </c>
      <c r="W316">
        <v>108</v>
      </c>
    </row>
    <row r="317" spans="1:23" x14ac:dyDescent="0.2">
      <c r="A317" t="s">
        <v>475</v>
      </c>
      <c r="B317" t="s">
        <v>157</v>
      </c>
      <c r="C317">
        <v>16.783297300338749</v>
      </c>
      <c r="D317">
        <v>506</v>
      </c>
      <c r="E317">
        <v>723</v>
      </c>
      <c r="F317">
        <v>8</v>
      </c>
      <c r="G317">
        <v>7</v>
      </c>
      <c r="H317">
        <v>0.6470588235294118</v>
      </c>
      <c r="I317">
        <v>1</v>
      </c>
      <c r="J317">
        <v>1.6764705882352939</v>
      </c>
      <c r="K317">
        <v>1.6764705882352939</v>
      </c>
      <c r="L317">
        <v>4.8571428571428568</v>
      </c>
      <c r="M317">
        <v>6</v>
      </c>
      <c r="N317">
        <v>1</v>
      </c>
      <c r="O317">
        <v>3</v>
      </c>
      <c r="P317">
        <v>57</v>
      </c>
      <c r="Q317">
        <v>34</v>
      </c>
      <c r="R317">
        <v>7</v>
      </c>
      <c r="S317">
        <v>8</v>
      </c>
      <c r="T317">
        <v>215</v>
      </c>
      <c r="U317">
        <v>38</v>
      </c>
      <c r="V317">
        <v>22</v>
      </c>
      <c r="W317">
        <v>57</v>
      </c>
    </row>
    <row r="318" spans="1:23" x14ac:dyDescent="0.2">
      <c r="A318" t="s">
        <v>476</v>
      </c>
      <c r="B318" t="s">
        <v>158</v>
      </c>
      <c r="C318" t="s">
        <v>159</v>
      </c>
      <c r="D318" t="s">
        <v>159</v>
      </c>
      <c r="E318" t="s">
        <v>159</v>
      </c>
      <c r="F318" t="s">
        <v>159</v>
      </c>
      <c r="G318" t="s">
        <v>159</v>
      </c>
      <c r="H318" t="s">
        <v>159</v>
      </c>
      <c r="I318" t="s">
        <v>159</v>
      </c>
      <c r="J318" t="s">
        <v>159</v>
      </c>
      <c r="K318" t="s">
        <v>159</v>
      </c>
      <c r="L318" t="s">
        <v>159</v>
      </c>
      <c r="M318" t="s">
        <v>159</v>
      </c>
      <c r="N318" t="s">
        <v>159</v>
      </c>
      <c r="O318" t="s">
        <v>159</v>
      </c>
      <c r="P318" t="s">
        <v>159</v>
      </c>
      <c r="Q318" t="s">
        <v>159</v>
      </c>
      <c r="R318" t="s">
        <v>159</v>
      </c>
      <c r="S318" t="s">
        <v>159</v>
      </c>
      <c r="T318" t="s">
        <v>159</v>
      </c>
      <c r="U318" t="s">
        <v>159</v>
      </c>
      <c r="V318" t="s">
        <v>159</v>
      </c>
      <c r="W318" t="s">
        <v>159</v>
      </c>
    </row>
    <row r="319" spans="1:23" x14ac:dyDescent="0.2">
      <c r="A319" t="s">
        <v>477</v>
      </c>
      <c r="B319" t="s">
        <v>157</v>
      </c>
      <c r="C319">
        <v>243.86063885688779</v>
      </c>
      <c r="D319">
        <v>632</v>
      </c>
      <c r="E319">
        <v>1291</v>
      </c>
      <c r="F319">
        <v>9</v>
      </c>
      <c r="G319">
        <v>8</v>
      </c>
      <c r="H319">
        <v>1.55</v>
      </c>
      <c r="I319">
        <v>1.1208791208791209</v>
      </c>
      <c r="J319">
        <v>1.7</v>
      </c>
      <c r="K319">
        <v>1.5166666666666671</v>
      </c>
      <c r="L319">
        <v>7.5</v>
      </c>
      <c r="M319">
        <v>2</v>
      </c>
      <c r="N319">
        <v>2</v>
      </c>
      <c r="O319">
        <v>2</v>
      </c>
      <c r="P319">
        <v>91</v>
      </c>
      <c r="Q319">
        <v>60</v>
      </c>
      <c r="R319">
        <v>8</v>
      </c>
      <c r="S319">
        <v>17</v>
      </c>
      <c r="T319">
        <v>918</v>
      </c>
      <c r="U319">
        <v>121</v>
      </c>
      <c r="V319">
        <v>93</v>
      </c>
      <c r="W319">
        <v>102</v>
      </c>
    </row>
    <row r="320" spans="1:23" x14ac:dyDescent="0.2">
      <c r="A320" t="s">
        <v>478</v>
      </c>
      <c r="B320" t="s">
        <v>158</v>
      </c>
      <c r="C320" t="s">
        <v>159</v>
      </c>
      <c r="D320" t="s">
        <v>159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  <c r="J320" t="s">
        <v>159</v>
      </c>
      <c r="K320" t="s">
        <v>159</v>
      </c>
      <c r="L320" t="s">
        <v>159</v>
      </c>
      <c r="M320" t="s">
        <v>159</v>
      </c>
      <c r="N320" t="s">
        <v>159</v>
      </c>
      <c r="O320" t="s">
        <v>159</v>
      </c>
      <c r="P320" t="s">
        <v>159</v>
      </c>
      <c r="Q320" t="s">
        <v>159</v>
      </c>
      <c r="R320" t="s">
        <v>159</v>
      </c>
      <c r="S320" t="s">
        <v>159</v>
      </c>
      <c r="T320" t="s">
        <v>159</v>
      </c>
      <c r="U320" t="s">
        <v>159</v>
      </c>
      <c r="V320" t="s">
        <v>159</v>
      </c>
      <c r="W320" t="s">
        <v>159</v>
      </c>
    </row>
    <row r="321" spans="1:23" x14ac:dyDescent="0.2">
      <c r="A321" t="s">
        <v>479</v>
      </c>
      <c r="B321" t="s">
        <v>157</v>
      </c>
      <c r="C321">
        <v>4829.18585729599</v>
      </c>
      <c r="D321">
        <v>6559</v>
      </c>
      <c r="E321">
        <v>24023</v>
      </c>
      <c r="F321">
        <v>13</v>
      </c>
      <c r="G321">
        <v>12</v>
      </c>
      <c r="H321">
        <v>5375.391304347826</v>
      </c>
      <c r="I321">
        <v>1.112676056338028</v>
      </c>
      <c r="J321">
        <v>1.7173913043478259</v>
      </c>
      <c r="K321">
        <v>1.543478260869565</v>
      </c>
      <c r="L321">
        <v>3.833333333333333</v>
      </c>
      <c r="M321">
        <v>39701</v>
      </c>
      <c r="N321">
        <v>2</v>
      </c>
      <c r="O321">
        <v>5</v>
      </c>
      <c r="P321">
        <v>71</v>
      </c>
      <c r="Q321">
        <v>46</v>
      </c>
      <c r="R321">
        <v>12</v>
      </c>
      <c r="S321">
        <v>25</v>
      </c>
      <c r="T321">
        <v>1071</v>
      </c>
      <c r="U321">
        <v>272</v>
      </c>
      <c r="V321">
        <v>247268</v>
      </c>
      <c r="W321">
        <v>79</v>
      </c>
    </row>
    <row r="322" spans="1:23" x14ac:dyDescent="0.2">
      <c r="A322" t="s">
        <v>480</v>
      </c>
      <c r="B322" t="s">
        <v>157</v>
      </c>
      <c r="C322">
        <v>41.251731395721443</v>
      </c>
      <c r="D322">
        <v>758</v>
      </c>
      <c r="E322">
        <v>737</v>
      </c>
      <c r="F322">
        <v>9</v>
      </c>
      <c r="G322">
        <v>8</v>
      </c>
      <c r="H322">
        <v>0.67441860465116277</v>
      </c>
      <c r="I322">
        <v>1</v>
      </c>
      <c r="J322">
        <v>1.930232558139535</v>
      </c>
      <c r="K322">
        <v>1.930232558139535</v>
      </c>
      <c r="L322">
        <v>5.375</v>
      </c>
      <c r="M322">
        <v>7</v>
      </c>
      <c r="N322">
        <v>1</v>
      </c>
      <c r="O322">
        <v>3</v>
      </c>
      <c r="P322">
        <v>83</v>
      </c>
      <c r="Q322">
        <v>43</v>
      </c>
      <c r="R322">
        <v>8</v>
      </c>
      <c r="S322">
        <v>9</v>
      </c>
      <c r="T322">
        <v>304</v>
      </c>
      <c r="U322">
        <v>51</v>
      </c>
      <c r="V322">
        <v>29</v>
      </c>
      <c r="W322">
        <v>83</v>
      </c>
    </row>
    <row r="323" spans="1:23" x14ac:dyDescent="0.2">
      <c r="A323" t="s">
        <v>481</v>
      </c>
      <c r="B323" t="s">
        <v>157</v>
      </c>
      <c r="C323">
        <v>439.26292657852179</v>
      </c>
      <c r="D323">
        <v>1712</v>
      </c>
      <c r="E323">
        <v>3041</v>
      </c>
      <c r="F323">
        <v>9</v>
      </c>
      <c r="G323">
        <v>8</v>
      </c>
      <c r="H323">
        <v>0.67441860465116277</v>
      </c>
      <c r="I323">
        <v>1</v>
      </c>
      <c r="J323">
        <v>1.7906976744186049</v>
      </c>
      <c r="K323">
        <v>1.7906976744186049</v>
      </c>
      <c r="L323">
        <v>5.375</v>
      </c>
      <c r="M323">
        <v>7</v>
      </c>
      <c r="N323">
        <v>1</v>
      </c>
      <c r="O323">
        <v>3</v>
      </c>
      <c r="P323">
        <v>77</v>
      </c>
      <c r="Q323">
        <v>43</v>
      </c>
      <c r="R323">
        <v>8</v>
      </c>
      <c r="S323">
        <v>9</v>
      </c>
      <c r="T323">
        <v>310</v>
      </c>
      <c r="U323">
        <v>51</v>
      </c>
      <c r="V323">
        <v>29</v>
      </c>
      <c r="W323">
        <v>77</v>
      </c>
    </row>
    <row r="324" spans="1:23" x14ac:dyDescent="0.2">
      <c r="A324" t="s">
        <v>482</v>
      </c>
      <c r="B324" t="s">
        <v>157</v>
      </c>
      <c r="C324">
        <v>15.607254505157471</v>
      </c>
      <c r="D324">
        <v>213</v>
      </c>
      <c r="E324">
        <v>2069</v>
      </c>
      <c r="F324">
        <v>8</v>
      </c>
      <c r="G324">
        <v>6</v>
      </c>
      <c r="H324">
        <v>0</v>
      </c>
      <c r="I324">
        <v>1.058139534883721</v>
      </c>
      <c r="J324">
        <v>2.84375</v>
      </c>
      <c r="K324">
        <v>2.6875</v>
      </c>
      <c r="L324">
        <v>5.333333333333333</v>
      </c>
      <c r="M324">
        <v>0</v>
      </c>
      <c r="N324">
        <v>6</v>
      </c>
      <c r="O324">
        <v>5</v>
      </c>
      <c r="P324">
        <v>86</v>
      </c>
      <c r="Q324">
        <v>32</v>
      </c>
      <c r="R324">
        <v>6</v>
      </c>
      <c r="S324">
        <v>13</v>
      </c>
      <c r="T324">
        <v>325</v>
      </c>
      <c r="U324">
        <v>57</v>
      </c>
      <c r="V324">
        <v>0</v>
      </c>
      <c r="W324">
        <v>91</v>
      </c>
    </row>
    <row r="325" spans="1:23" x14ac:dyDescent="0.2">
      <c r="A325" t="s">
        <v>483</v>
      </c>
      <c r="B325" t="s">
        <v>157</v>
      </c>
      <c r="C325">
        <v>98.409071207046523</v>
      </c>
      <c r="D325">
        <v>935</v>
      </c>
      <c r="E325">
        <v>3740</v>
      </c>
      <c r="F325">
        <v>7</v>
      </c>
      <c r="G325">
        <v>7</v>
      </c>
      <c r="H325">
        <v>7.0727272727272723</v>
      </c>
      <c r="I325">
        <v>1.6493506493506489</v>
      </c>
      <c r="J325">
        <v>2.3090909090909091</v>
      </c>
      <c r="K325">
        <v>1.4</v>
      </c>
      <c r="L325">
        <v>7.8571428571428568</v>
      </c>
      <c r="M325">
        <v>36</v>
      </c>
      <c r="N325">
        <v>4</v>
      </c>
      <c r="O325">
        <v>3</v>
      </c>
      <c r="P325">
        <v>77</v>
      </c>
      <c r="Q325">
        <v>55</v>
      </c>
      <c r="R325">
        <v>7</v>
      </c>
      <c r="S325">
        <v>14</v>
      </c>
      <c r="T325">
        <v>643</v>
      </c>
      <c r="U325">
        <v>74</v>
      </c>
      <c r="V325">
        <v>389</v>
      </c>
      <c r="W325">
        <v>127</v>
      </c>
    </row>
    <row r="326" spans="1:23" x14ac:dyDescent="0.2">
      <c r="A326" t="s">
        <v>484</v>
      </c>
      <c r="B326" t="s">
        <v>157</v>
      </c>
      <c r="C326">
        <v>14.50214672088623</v>
      </c>
      <c r="D326">
        <v>418</v>
      </c>
      <c r="E326">
        <v>758</v>
      </c>
      <c r="F326">
        <v>7</v>
      </c>
      <c r="G326">
        <v>6</v>
      </c>
      <c r="H326">
        <v>5.882352941176471</v>
      </c>
      <c r="I326">
        <v>1.396825396825397</v>
      </c>
      <c r="J326">
        <v>1.7254901960784319</v>
      </c>
      <c r="K326">
        <v>1.2352941176470591</v>
      </c>
      <c r="L326">
        <v>8.5</v>
      </c>
      <c r="M326">
        <v>50</v>
      </c>
      <c r="N326">
        <v>2</v>
      </c>
      <c r="O326">
        <v>2</v>
      </c>
      <c r="P326">
        <v>63</v>
      </c>
      <c r="Q326">
        <v>51</v>
      </c>
      <c r="R326">
        <v>6</v>
      </c>
      <c r="S326">
        <v>13</v>
      </c>
      <c r="T326">
        <v>575</v>
      </c>
      <c r="U326">
        <v>66</v>
      </c>
      <c r="V326">
        <v>300</v>
      </c>
      <c r="W326">
        <v>88</v>
      </c>
    </row>
    <row r="327" spans="1:23" x14ac:dyDescent="0.2">
      <c r="A327" t="s">
        <v>485</v>
      </c>
      <c r="B327" t="s">
        <v>157</v>
      </c>
      <c r="C327">
        <v>5976.0582509040833</v>
      </c>
      <c r="D327">
        <v>6920</v>
      </c>
      <c r="E327">
        <v>25785</v>
      </c>
      <c r="F327">
        <v>13</v>
      </c>
      <c r="G327">
        <v>12</v>
      </c>
      <c r="H327">
        <v>5462.347826086957</v>
      </c>
      <c r="I327">
        <v>1.1159420289855071</v>
      </c>
      <c r="J327">
        <v>1.673913043478261</v>
      </c>
      <c r="K327">
        <v>1.5</v>
      </c>
      <c r="L327">
        <v>3.833333333333333</v>
      </c>
      <c r="M327">
        <v>39701</v>
      </c>
      <c r="N327">
        <v>2</v>
      </c>
      <c r="O327">
        <v>5</v>
      </c>
      <c r="P327">
        <v>69</v>
      </c>
      <c r="Q327">
        <v>46</v>
      </c>
      <c r="R327">
        <v>12</v>
      </c>
      <c r="S327">
        <v>25</v>
      </c>
      <c r="T327">
        <v>1073</v>
      </c>
      <c r="U327">
        <v>273</v>
      </c>
      <c r="V327">
        <v>251268</v>
      </c>
      <c r="W327">
        <v>77</v>
      </c>
    </row>
    <row r="328" spans="1:23" x14ac:dyDescent="0.2">
      <c r="A328" t="s">
        <v>486</v>
      </c>
      <c r="B328" t="s">
        <v>157</v>
      </c>
      <c r="C328">
        <v>544.84331727027893</v>
      </c>
      <c r="D328">
        <v>892</v>
      </c>
      <c r="E328">
        <v>16857</v>
      </c>
      <c r="F328">
        <v>7</v>
      </c>
      <c r="G328">
        <v>6</v>
      </c>
      <c r="H328">
        <v>7.1428571428571425E-2</v>
      </c>
      <c r="I328">
        <v>1.188679245283019</v>
      </c>
      <c r="J328">
        <v>2.25</v>
      </c>
      <c r="K328">
        <v>1.892857142857143</v>
      </c>
      <c r="L328">
        <v>4.666666666666667</v>
      </c>
      <c r="M328">
        <v>1</v>
      </c>
      <c r="N328">
        <v>5</v>
      </c>
      <c r="O328">
        <v>4</v>
      </c>
      <c r="P328">
        <v>53</v>
      </c>
      <c r="Q328">
        <v>28</v>
      </c>
      <c r="R328">
        <v>6</v>
      </c>
      <c r="S328">
        <v>11</v>
      </c>
      <c r="T328">
        <v>245</v>
      </c>
      <c r="U328">
        <v>47</v>
      </c>
      <c r="V328">
        <v>2</v>
      </c>
      <c r="W328">
        <v>63</v>
      </c>
    </row>
    <row r="329" spans="1:23" x14ac:dyDescent="0.2">
      <c r="A329" t="s">
        <v>487</v>
      </c>
      <c r="B329" t="s">
        <v>157</v>
      </c>
      <c r="C329">
        <v>1.5265786647796631</v>
      </c>
      <c r="D329">
        <v>96</v>
      </c>
      <c r="E329">
        <v>161</v>
      </c>
      <c r="F329">
        <v>7</v>
      </c>
      <c r="G329">
        <v>7</v>
      </c>
      <c r="H329">
        <v>6.7454545454545451</v>
      </c>
      <c r="I329">
        <v>1.68</v>
      </c>
      <c r="J329">
        <v>2.290909090909091</v>
      </c>
      <c r="K329">
        <v>1.363636363636364</v>
      </c>
      <c r="L329">
        <v>7.8571428571428568</v>
      </c>
      <c r="M329">
        <v>36</v>
      </c>
      <c r="N329">
        <v>4</v>
      </c>
      <c r="O329">
        <v>3</v>
      </c>
      <c r="P329">
        <v>75</v>
      </c>
      <c r="Q329">
        <v>55</v>
      </c>
      <c r="R329">
        <v>7</v>
      </c>
      <c r="S329">
        <v>13</v>
      </c>
      <c r="T329">
        <v>589</v>
      </c>
      <c r="U329">
        <v>67</v>
      </c>
      <c r="V329">
        <v>371</v>
      </c>
      <c r="W329">
        <v>126</v>
      </c>
    </row>
    <row r="330" spans="1:23" x14ac:dyDescent="0.2">
      <c r="A330" t="s">
        <v>488</v>
      </c>
      <c r="B330" t="s">
        <v>157</v>
      </c>
      <c r="C330">
        <v>300.98287534713751</v>
      </c>
      <c r="D330">
        <v>362</v>
      </c>
      <c r="E330">
        <v>2713</v>
      </c>
      <c r="F330">
        <v>6</v>
      </c>
      <c r="G330">
        <v>5</v>
      </c>
      <c r="H330">
        <v>2.034782608695652</v>
      </c>
      <c r="I330">
        <v>1.6647398843930641</v>
      </c>
      <c r="J330">
        <v>2.5043478260869572</v>
      </c>
      <c r="K330">
        <v>1.5043478260869561</v>
      </c>
      <c r="L330">
        <v>23</v>
      </c>
      <c r="M330">
        <v>6</v>
      </c>
      <c r="N330">
        <v>3</v>
      </c>
      <c r="O330">
        <v>2</v>
      </c>
      <c r="P330">
        <v>173</v>
      </c>
      <c r="Q330">
        <v>115</v>
      </c>
      <c r="R330">
        <v>5</v>
      </c>
      <c r="S330">
        <v>16</v>
      </c>
      <c r="T330">
        <v>1552</v>
      </c>
      <c r="U330">
        <v>65</v>
      </c>
      <c r="V330">
        <v>234</v>
      </c>
      <c r="W330">
        <v>288</v>
      </c>
    </row>
    <row r="331" spans="1:23" x14ac:dyDescent="0.2">
      <c r="A331" t="s">
        <v>489</v>
      </c>
      <c r="B331" t="s">
        <v>157</v>
      </c>
      <c r="C331">
        <v>2181.91142988205</v>
      </c>
      <c r="D331">
        <v>2653</v>
      </c>
      <c r="E331">
        <v>4265</v>
      </c>
      <c r="F331">
        <v>10</v>
      </c>
      <c r="G331">
        <v>9</v>
      </c>
      <c r="H331">
        <v>0.69811320754716977</v>
      </c>
      <c r="I331">
        <v>1</v>
      </c>
      <c r="J331">
        <v>2.0188679245283021</v>
      </c>
      <c r="K331">
        <v>2.0188679245283021</v>
      </c>
      <c r="L331">
        <v>5.8888888888888893</v>
      </c>
      <c r="M331">
        <v>8</v>
      </c>
      <c r="N331">
        <v>1</v>
      </c>
      <c r="O331">
        <v>3</v>
      </c>
      <c r="P331">
        <v>107</v>
      </c>
      <c r="Q331">
        <v>53</v>
      </c>
      <c r="R331">
        <v>9</v>
      </c>
      <c r="S331">
        <v>10</v>
      </c>
      <c r="T331">
        <v>423</v>
      </c>
      <c r="U331">
        <v>66</v>
      </c>
      <c r="V331">
        <v>37</v>
      </c>
      <c r="W331">
        <v>107</v>
      </c>
    </row>
    <row r="332" spans="1:23" x14ac:dyDescent="0.2">
      <c r="A332" t="s">
        <v>490</v>
      </c>
      <c r="B332" t="s">
        <v>157</v>
      </c>
      <c r="C332">
        <v>78.092600584030151</v>
      </c>
      <c r="D332">
        <v>909</v>
      </c>
      <c r="E332">
        <v>1247</v>
      </c>
      <c r="F332">
        <v>9</v>
      </c>
      <c r="G332">
        <v>8</v>
      </c>
      <c r="H332">
        <v>0.67441860465116277</v>
      </c>
      <c r="I332">
        <v>1</v>
      </c>
      <c r="J332">
        <v>1.930232558139535</v>
      </c>
      <c r="K332">
        <v>1.930232558139535</v>
      </c>
      <c r="L332">
        <v>5.375</v>
      </c>
      <c r="M332">
        <v>7</v>
      </c>
      <c r="N332">
        <v>1</v>
      </c>
      <c r="O332">
        <v>3</v>
      </c>
      <c r="P332">
        <v>83</v>
      </c>
      <c r="Q332">
        <v>43</v>
      </c>
      <c r="R332">
        <v>8</v>
      </c>
      <c r="S332">
        <v>9</v>
      </c>
      <c r="T332">
        <v>304</v>
      </c>
      <c r="U332">
        <v>51</v>
      </c>
      <c r="V332">
        <v>29</v>
      </c>
      <c r="W332">
        <v>83</v>
      </c>
    </row>
    <row r="333" spans="1:23" x14ac:dyDescent="0.2">
      <c r="A333" t="s">
        <v>491</v>
      </c>
      <c r="B333" t="s">
        <v>158</v>
      </c>
      <c r="C333" t="s">
        <v>159</v>
      </c>
      <c r="D333" t="s">
        <v>159</v>
      </c>
      <c r="E333" t="s">
        <v>159</v>
      </c>
      <c r="F333" t="s">
        <v>159</v>
      </c>
      <c r="G333" t="s">
        <v>159</v>
      </c>
      <c r="H333" t="s">
        <v>159</v>
      </c>
      <c r="I333" t="s">
        <v>159</v>
      </c>
      <c r="J333" t="s">
        <v>159</v>
      </c>
      <c r="K333" t="s">
        <v>159</v>
      </c>
      <c r="L333" t="s">
        <v>159</v>
      </c>
      <c r="M333" t="s">
        <v>159</v>
      </c>
      <c r="N333" t="s">
        <v>159</v>
      </c>
      <c r="O333" t="s">
        <v>159</v>
      </c>
      <c r="P333" t="s">
        <v>159</v>
      </c>
      <c r="Q333" t="s">
        <v>159</v>
      </c>
      <c r="R333" t="s">
        <v>159</v>
      </c>
      <c r="S333" t="s">
        <v>159</v>
      </c>
      <c r="T333" t="s">
        <v>159</v>
      </c>
      <c r="U333" t="s">
        <v>159</v>
      </c>
      <c r="V333" t="s">
        <v>159</v>
      </c>
      <c r="W333" t="s">
        <v>159</v>
      </c>
    </row>
    <row r="334" spans="1:23" x14ac:dyDescent="0.2">
      <c r="A334" t="s">
        <v>492</v>
      </c>
      <c r="B334" t="s">
        <v>158</v>
      </c>
      <c r="C334" t="s">
        <v>159</v>
      </c>
      <c r="D334" t="s">
        <v>159</v>
      </c>
      <c r="E334" t="s">
        <v>159</v>
      </c>
      <c r="F334" t="s">
        <v>159</v>
      </c>
      <c r="G334" t="s">
        <v>159</v>
      </c>
      <c r="H334" t="s">
        <v>159</v>
      </c>
      <c r="I334" t="s">
        <v>159</v>
      </c>
      <c r="J334" t="s">
        <v>159</v>
      </c>
      <c r="K334" t="s">
        <v>159</v>
      </c>
      <c r="L334" t="s">
        <v>159</v>
      </c>
      <c r="M334" t="s">
        <v>159</v>
      </c>
      <c r="N334" t="s">
        <v>159</v>
      </c>
      <c r="O334" t="s">
        <v>159</v>
      </c>
      <c r="P334" t="s">
        <v>159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  <c r="W334" t="s">
        <v>159</v>
      </c>
    </row>
    <row r="335" spans="1:23" x14ac:dyDescent="0.2">
      <c r="A335" t="s">
        <v>493</v>
      </c>
      <c r="B335" t="s">
        <v>157</v>
      </c>
      <c r="C335">
        <v>272.50598931312561</v>
      </c>
      <c r="D335">
        <v>1176</v>
      </c>
      <c r="E335">
        <v>23035</v>
      </c>
      <c r="F335">
        <v>7</v>
      </c>
      <c r="G335">
        <v>6</v>
      </c>
      <c r="H335">
        <v>3.125E-2</v>
      </c>
      <c r="I335">
        <v>1</v>
      </c>
      <c r="J335">
        <v>2.65625</v>
      </c>
      <c r="K335">
        <v>2.65625</v>
      </c>
      <c r="L335">
        <v>5.333333333333333</v>
      </c>
      <c r="M335">
        <v>1</v>
      </c>
      <c r="N335">
        <v>1</v>
      </c>
      <c r="O335">
        <v>5</v>
      </c>
      <c r="P335">
        <v>85</v>
      </c>
      <c r="Q335">
        <v>32</v>
      </c>
      <c r="R335">
        <v>6</v>
      </c>
      <c r="S335">
        <v>7</v>
      </c>
      <c r="T335">
        <v>139</v>
      </c>
      <c r="U335">
        <v>22</v>
      </c>
      <c r="V335">
        <v>1</v>
      </c>
      <c r="W335">
        <v>85</v>
      </c>
    </row>
    <row r="336" spans="1:23" x14ac:dyDescent="0.2">
      <c r="A336" t="s">
        <v>494</v>
      </c>
      <c r="B336" t="s">
        <v>157</v>
      </c>
      <c r="C336">
        <v>7.2807130813598633</v>
      </c>
      <c r="D336">
        <v>8992</v>
      </c>
      <c r="E336">
        <v>14988</v>
      </c>
      <c r="F336">
        <v>17</v>
      </c>
      <c r="G336">
        <v>16</v>
      </c>
      <c r="H336">
        <v>0</v>
      </c>
      <c r="I336">
        <v>1.032520325203252</v>
      </c>
      <c r="J336">
        <v>1.984375</v>
      </c>
      <c r="K336">
        <v>1.921875</v>
      </c>
      <c r="L336">
        <v>4</v>
      </c>
      <c r="M336">
        <v>0</v>
      </c>
      <c r="N336">
        <v>2</v>
      </c>
      <c r="O336">
        <v>2</v>
      </c>
      <c r="P336">
        <v>123</v>
      </c>
      <c r="Q336">
        <v>64</v>
      </c>
      <c r="R336">
        <v>16</v>
      </c>
      <c r="S336">
        <v>21</v>
      </c>
      <c r="T336">
        <v>1217</v>
      </c>
      <c r="U336">
        <v>304</v>
      </c>
      <c r="V336">
        <v>0</v>
      </c>
      <c r="W336">
        <v>127</v>
      </c>
    </row>
    <row r="337" spans="1:23" x14ac:dyDescent="0.2">
      <c r="A337" t="s">
        <v>495</v>
      </c>
      <c r="B337" t="s">
        <v>157</v>
      </c>
      <c r="C337">
        <v>2.9384922981262211</v>
      </c>
      <c r="D337">
        <v>136</v>
      </c>
      <c r="E337">
        <v>109</v>
      </c>
      <c r="F337">
        <v>7</v>
      </c>
      <c r="G337">
        <v>6</v>
      </c>
      <c r="H337">
        <v>2.2999999999999998</v>
      </c>
      <c r="I337">
        <v>1.2032520325203251</v>
      </c>
      <c r="J337">
        <v>1.85</v>
      </c>
      <c r="K337">
        <v>1.5375000000000001</v>
      </c>
      <c r="L337">
        <v>13.33333333333333</v>
      </c>
      <c r="M337">
        <v>12</v>
      </c>
      <c r="N337">
        <v>2</v>
      </c>
      <c r="O337">
        <v>2</v>
      </c>
      <c r="P337">
        <v>123</v>
      </c>
      <c r="Q337">
        <v>80</v>
      </c>
      <c r="R337">
        <v>6</v>
      </c>
      <c r="S337">
        <v>8</v>
      </c>
      <c r="T337">
        <v>492</v>
      </c>
      <c r="U337">
        <v>32</v>
      </c>
      <c r="V337">
        <v>184</v>
      </c>
      <c r="W337">
        <v>148</v>
      </c>
    </row>
    <row r="338" spans="1:23" x14ac:dyDescent="0.2">
      <c r="A338" t="s">
        <v>496</v>
      </c>
      <c r="B338" t="s">
        <v>158</v>
      </c>
      <c r="C338" t="s">
        <v>159</v>
      </c>
      <c r="D338" t="s">
        <v>159</v>
      </c>
      <c r="E338" t="s">
        <v>159</v>
      </c>
      <c r="F338" t="s">
        <v>159</v>
      </c>
      <c r="G338" t="s">
        <v>159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  <c r="Q338" t="s">
        <v>159</v>
      </c>
      <c r="R338" t="s">
        <v>159</v>
      </c>
      <c r="S338" t="s">
        <v>159</v>
      </c>
      <c r="T338" t="s">
        <v>159</v>
      </c>
      <c r="U338" t="s">
        <v>159</v>
      </c>
      <c r="V338" t="s">
        <v>159</v>
      </c>
      <c r="W338" t="s">
        <v>159</v>
      </c>
    </row>
    <row r="339" spans="1:23" x14ac:dyDescent="0.2">
      <c r="A339" t="s">
        <v>497</v>
      </c>
      <c r="B339" t="s">
        <v>157</v>
      </c>
      <c r="C339">
        <v>899.39343070983887</v>
      </c>
      <c r="D339">
        <v>2682</v>
      </c>
      <c r="E339">
        <v>4413</v>
      </c>
      <c r="F339">
        <v>10</v>
      </c>
      <c r="G339">
        <v>9</v>
      </c>
      <c r="H339">
        <v>0.69811320754716977</v>
      </c>
      <c r="I339">
        <v>1</v>
      </c>
      <c r="J339">
        <v>2.0188679245283021</v>
      </c>
      <c r="K339">
        <v>2.0188679245283021</v>
      </c>
      <c r="L339">
        <v>5.8888888888888893</v>
      </c>
      <c r="M339">
        <v>8</v>
      </c>
      <c r="N339">
        <v>1</v>
      </c>
      <c r="O339">
        <v>3</v>
      </c>
      <c r="P339">
        <v>107</v>
      </c>
      <c r="Q339">
        <v>53</v>
      </c>
      <c r="R339">
        <v>9</v>
      </c>
      <c r="S339">
        <v>10</v>
      </c>
      <c r="T339">
        <v>423</v>
      </c>
      <c r="U339">
        <v>66</v>
      </c>
      <c r="V339">
        <v>37</v>
      </c>
      <c r="W339">
        <v>107</v>
      </c>
    </row>
    <row r="340" spans="1:23" x14ac:dyDescent="0.2">
      <c r="A340" t="s">
        <v>498</v>
      </c>
      <c r="B340" t="s">
        <v>157</v>
      </c>
      <c r="C340">
        <v>22.969250202178959</v>
      </c>
      <c r="D340">
        <v>386</v>
      </c>
      <c r="E340">
        <v>390</v>
      </c>
      <c r="F340">
        <v>10</v>
      </c>
      <c r="G340">
        <v>9</v>
      </c>
      <c r="H340">
        <v>9.6393442622950793</v>
      </c>
      <c r="I340">
        <v>1.008403361344538</v>
      </c>
      <c r="J340">
        <v>1.9672131147540981</v>
      </c>
      <c r="K340">
        <v>1.9508196721311479</v>
      </c>
      <c r="L340">
        <v>6.7777777777777777</v>
      </c>
      <c r="M340">
        <v>100</v>
      </c>
      <c r="N340">
        <v>2</v>
      </c>
      <c r="O340">
        <v>4</v>
      </c>
      <c r="P340">
        <v>119</v>
      </c>
      <c r="Q340">
        <v>61</v>
      </c>
      <c r="R340">
        <v>9</v>
      </c>
      <c r="S340">
        <v>19</v>
      </c>
      <c r="T340">
        <v>1039</v>
      </c>
      <c r="U340">
        <v>147</v>
      </c>
      <c r="V340">
        <v>588</v>
      </c>
      <c r="W340">
        <v>120</v>
      </c>
    </row>
    <row r="341" spans="1:23" x14ac:dyDescent="0.2">
      <c r="A341" t="s">
        <v>499</v>
      </c>
      <c r="B341" t="s">
        <v>157</v>
      </c>
      <c r="C341">
        <v>4.7889657020568848</v>
      </c>
      <c r="D341">
        <v>247</v>
      </c>
      <c r="E341">
        <v>158</v>
      </c>
      <c r="F341">
        <v>8</v>
      </c>
      <c r="G341">
        <v>7</v>
      </c>
      <c r="H341">
        <v>0.6470588235294118</v>
      </c>
      <c r="I341">
        <v>1</v>
      </c>
      <c r="J341">
        <v>1.8235294117647061</v>
      </c>
      <c r="K341">
        <v>1.8235294117647061</v>
      </c>
      <c r="L341">
        <v>4.8571428571428568</v>
      </c>
      <c r="M341">
        <v>6</v>
      </c>
      <c r="N341">
        <v>1</v>
      </c>
      <c r="O341">
        <v>3</v>
      </c>
      <c r="P341">
        <v>62</v>
      </c>
      <c r="Q341">
        <v>34</v>
      </c>
      <c r="R341">
        <v>7</v>
      </c>
      <c r="S341">
        <v>8</v>
      </c>
      <c r="T341">
        <v>210</v>
      </c>
      <c r="U341">
        <v>38</v>
      </c>
      <c r="V341">
        <v>22</v>
      </c>
      <c r="W341">
        <v>62</v>
      </c>
    </row>
    <row r="342" spans="1:23" x14ac:dyDescent="0.2">
      <c r="A342" t="s">
        <v>500</v>
      </c>
      <c r="B342" t="s">
        <v>157</v>
      </c>
      <c r="C342">
        <v>358.16957402229309</v>
      </c>
      <c r="D342">
        <v>1163</v>
      </c>
      <c r="E342">
        <v>1655</v>
      </c>
      <c r="F342">
        <v>11</v>
      </c>
      <c r="G342">
        <v>10</v>
      </c>
      <c r="H342">
        <v>66.7</v>
      </c>
      <c r="I342">
        <v>1</v>
      </c>
      <c r="J342">
        <v>1.5249999999999999</v>
      </c>
      <c r="K342">
        <v>1.5249999999999999</v>
      </c>
      <c r="L342">
        <v>4</v>
      </c>
      <c r="M342">
        <v>595</v>
      </c>
      <c r="N342">
        <v>1</v>
      </c>
      <c r="O342">
        <v>2</v>
      </c>
      <c r="P342">
        <v>61</v>
      </c>
      <c r="Q342">
        <v>40</v>
      </c>
      <c r="R342">
        <v>10</v>
      </c>
      <c r="S342">
        <v>11</v>
      </c>
      <c r="T342">
        <v>379</v>
      </c>
      <c r="U342">
        <v>92</v>
      </c>
      <c r="V342">
        <v>2668</v>
      </c>
      <c r="W342">
        <v>61</v>
      </c>
    </row>
    <row r="343" spans="1:23" x14ac:dyDescent="0.2">
      <c r="A343" t="s">
        <v>501</v>
      </c>
      <c r="B343" t="s">
        <v>158</v>
      </c>
      <c r="C343" t="s">
        <v>159</v>
      </c>
      <c r="D343" t="s">
        <v>159</v>
      </c>
      <c r="E343" t="s">
        <v>159</v>
      </c>
      <c r="F343" t="s">
        <v>159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  <c r="L343" t="s">
        <v>159</v>
      </c>
      <c r="M343" t="s">
        <v>159</v>
      </c>
      <c r="N343" t="s">
        <v>159</v>
      </c>
      <c r="O343" t="s">
        <v>159</v>
      </c>
      <c r="P343" t="s">
        <v>159</v>
      </c>
      <c r="Q343" t="s">
        <v>159</v>
      </c>
      <c r="R343" t="s">
        <v>159</v>
      </c>
      <c r="S343" t="s">
        <v>159</v>
      </c>
      <c r="T343" t="s">
        <v>159</v>
      </c>
      <c r="U343" t="s">
        <v>159</v>
      </c>
      <c r="V343" t="s">
        <v>159</v>
      </c>
      <c r="W343" t="s">
        <v>159</v>
      </c>
    </row>
    <row r="344" spans="1:23" x14ac:dyDescent="0.2">
      <c r="A344" t="s">
        <v>502</v>
      </c>
      <c r="B344" t="s">
        <v>158</v>
      </c>
      <c r="C344" t="s">
        <v>159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  <c r="I344" t="s">
        <v>159</v>
      </c>
      <c r="J344" t="s">
        <v>159</v>
      </c>
      <c r="K344" t="s">
        <v>159</v>
      </c>
      <c r="L344" t="s">
        <v>159</v>
      </c>
      <c r="M344" t="s">
        <v>159</v>
      </c>
      <c r="N344" t="s">
        <v>159</v>
      </c>
      <c r="O344" t="s">
        <v>159</v>
      </c>
      <c r="P344" t="s">
        <v>159</v>
      </c>
      <c r="Q344" t="s">
        <v>159</v>
      </c>
      <c r="R344" t="s">
        <v>159</v>
      </c>
      <c r="S344" t="s">
        <v>159</v>
      </c>
      <c r="T344" t="s">
        <v>159</v>
      </c>
      <c r="U344" t="s">
        <v>159</v>
      </c>
      <c r="V344" t="s">
        <v>159</v>
      </c>
      <c r="W344" t="s">
        <v>159</v>
      </c>
    </row>
    <row r="345" spans="1:23" x14ac:dyDescent="0.2">
      <c r="A345" t="s">
        <v>503</v>
      </c>
      <c r="B345" t="s">
        <v>157</v>
      </c>
      <c r="C345">
        <v>7.0239861011505127</v>
      </c>
      <c r="D345">
        <v>8486</v>
      </c>
      <c r="E345">
        <v>12276</v>
      </c>
      <c r="F345">
        <v>17</v>
      </c>
      <c r="G345">
        <v>16</v>
      </c>
      <c r="H345">
        <v>0</v>
      </c>
      <c r="I345">
        <v>1.032520325203252</v>
      </c>
      <c r="J345">
        <v>1.984375</v>
      </c>
      <c r="K345">
        <v>1.921875</v>
      </c>
      <c r="L345">
        <v>4</v>
      </c>
      <c r="M345">
        <v>0</v>
      </c>
      <c r="N345">
        <v>2</v>
      </c>
      <c r="O345">
        <v>2</v>
      </c>
      <c r="P345">
        <v>123</v>
      </c>
      <c r="Q345">
        <v>64</v>
      </c>
      <c r="R345">
        <v>16</v>
      </c>
      <c r="S345">
        <v>21</v>
      </c>
      <c r="T345">
        <v>1217</v>
      </c>
      <c r="U345">
        <v>304</v>
      </c>
      <c r="V345">
        <v>0</v>
      </c>
      <c r="W345">
        <v>127</v>
      </c>
    </row>
    <row r="346" spans="1:23" x14ac:dyDescent="0.2">
      <c r="A346" t="s">
        <v>504</v>
      </c>
      <c r="B346" t="s">
        <v>157</v>
      </c>
      <c r="C346">
        <v>31.878756523132321</v>
      </c>
      <c r="D346">
        <v>270</v>
      </c>
      <c r="E346">
        <v>394</v>
      </c>
      <c r="F346">
        <v>8</v>
      </c>
      <c r="G346">
        <v>7</v>
      </c>
      <c r="H346">
        <v>1.5106382978723401</v>
      </c>
      <c r="I346">
        <v>1.130434782608696</v>
      </c>
      <c r="J346">
        <v>1.6595744680851059</v>
      </c>
      <c r="K346">
        <v>1.468085106382979</v>
      </c>
      <c r="L346">
        <v>6.7142857142857144</v>
      </c>
      <c r="M346">
        <v>2</v>
      </c>
      <c r="N346">
        <v>2</v>
      </c>
      <c r="O346">
        <v>2</v>
      </c>
      <c r="P346">
        <v>69</v>
      </c>
      <c r="Q346">
        <v>47</v>
      </c>
      <c r="R346">
        <v>7</v>
      </c>
      <c r="S346">
        <v>15</v>
      </c>
      <c r="T346">
        <v>627</v>
      </c>
      <c r="U346">
        <v>92</v>
      </c>
      <c r="V346">
        <v>71</v>
      </c>
      <c r="W346">
        <v>78</v>
      </c>
    </row>
    <row r="347" spans="1:23" x14ac:dyDescent="0.2">
      <c r="A347" t="s">
        <v>505</v>
      </c>
      <c r="B347" t="s">
        <v>158</v>
      </c>
      <c r="C347" t="s">
        <v>159</v>
      </c>
      <c r="D347" t="s">
        <v>159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  <c r="L347" t="s">
        <v>159</v>
      </c>
      <c r="M347" t="s">
        <v>159</v>
      </c>
      <c r="N347" t="s">
        <v>159</v>
      </c>
      <c r="O347" t="s">
        <v>159</v>
      </c>
      <c r="P347" t="s">
        <v>159</v>
      </c>
      <c r="Q347" t="s">
        <v>159</v>
      </c>
      <c r="R347" t="s">
        <v>159</v>
      </c>
      <c r="S347" t="s">
        <v>159</v>
      </c>
      <c r="T347" t="s">
        <v>159</v>
      </c>
      <c r="U347" t="s">
        <v>159</v>
      </c>
      <c r="V347" t="s">
        <v>159</v>
      </c>
      <c r="W347" t="s">
        <v>159</v>
      </c>
    </row>
    <row r="348" spans="1:23" x14ac:dyDescent="0.2">
      <c r="A348" t="s">
        <v>506</v>
      </c>
      <c r="B348" t="s">
        <v>157</v>
      </c>
      <c r="C348">
        <v>25.960074663162231</v>
      </c>
      <c r="D348">
        <v>395</v>
      </c>
      <c r="E348">
        <v>425</v>
      </c>
      <c r="F348">
        <v>10</v>
      </c>
      <c r="G348">
        <v>9</v>
      </c>
      <c r="H348">
        <v>9.6393442622950793</v>
      </c>
      <c r="I348">
        <v>1.008403361344538</v>
      </c>
      <c r="J348">
        <v>1.9672131147540981</v>
      </c>
      <c r="K348">
        <v>1.9508196721311479</v>
      </c>
      <c r="L348">
        <v>6.7777777777777777</v>
      </c>
      <c r="M348">
        <v>100</v>
      </c>
      <c r="N348">
        <v>2</v>
      </c>
      <c r="O348">
        <v>4</v>
      </c>
      <c r="P348">
        <v>119</v>
      </c>
      <c r="Q348">
        <v>61</v>
      </c>
      <c r="R348">
        <v>9</v>
      </c>
      <c r="S348">
        <v>19</v>
      </c>
      <c r="T348">
        <v>1039</v>
      </c>
      <c r="U348">
        <v>147</v>
      </c>
      <c r="V348">
        <v>588</v>
      </c>
      <c r="W348">
        <v>120</v>
      </c>
    </row>
    <row r="349" spans="1:23" x14ac:dyDescent="0.2">
      <c r="A349" t="s">
        <v>507</v>
      </c>
      <c r="B349" t="s">
        <v>157</v>
      </c>
      <c r="C349">
        <v>1733.5444867610929</v>
      </c>
      <c r="D349">
        <v>2638</v>
      </c>
      <c r="E349">
        <v>4254</v>
      </c>
      <c r="F349">
        <v>10</v>
      </c>
      <c r="G349">
        <v>9</v>
      </c>
      <c r="H349">
        <v>0.69811320754716977</v>
      </c>
      <c r="I349">
        <v>1</v>
      </c>
      <c r="J349">
        <v>2.0188679245283021</v>
      </c>
      <c r="K349">
        <v>2.0188679245283021</v>
      </c>
      <c r="L349">
        <v>5.8888888888888893</v>
      </c>
      <c r="M349">
        <v>8</v>
      </c>
      <c r="N349">
        <v>1</v>
      </c>
      <c r="O349">
        <v>3</v>
      </c>
      <c r="P349">
        <v>107</v>
      </c>
      <c r="Q349">
        <v>53</v>
      </c>
      <c r="R349">
        <v>9</v>
      </c>
      <c r="S349">
        <v>10</v>
      </c>
      <c r="T349">
        <v>423</v>
      </c>
      <c r="U349">
        <v>66</v>
      </c>
      <c r="V349">
        <v>37</v>
      </c>
      <c r="W349">
        <v>107</v>
      </c>
    </row>
    <row r="350" spans="1:23" x14ac:dyDescent="0.2">
      <c r="A350" t="s">
        <v>508</v>
      </c>
      <c r="B350" t="s">
        <v>157</v>
      </c>
      <c r="C350">
        <v>4680.6741504669189</v>
      </c>
      <c r="D350">
        <v>2644</v>
      </c>
      <c r="E350">
        <v>4996</v>
      </c>
      <c r="F350">
        <v>10</v>
      </c>
      <c r="G350">
        <v>9</v>
      </c>
      <c r="H350">
        <v>58996447823233.078</v>
      </c>
      <c r="I350">
        <v>1.033175355450237</v>
      </c>
      <c r="J350">
        <v>2.116504854368932</v>
      </c>
      <c r="K350">
        <v>2.0485436893203879</v>
      </c>
      <c r="L350">
        <v>11.444444444444439</v>
      </c>
      <c r="M350">
        <v>1212982689600000</v>
      </c>
      <c r="N350">
        <v>2</v>
      </c>
      <c r="O350">
        <v>4</v>
      </c>
      <c r="P350">
        <v>211</v>
      </c>
      <c r="Q350">
        <v>103</v>
      </c>
      <c r="R350">
        <v>9</v>
      </c>
      <c r="S350">
        <v>19</v>
      </c>
      <c r="T350">
        <v>1739</v>
      </c>
      <c r="U350">
        <v>145</v>
      </c>
      <c r="V350">
        <v>6076634125793007</v>
      </c>
      <c r="W350">
        <v>218</v>
      </c>
    </row>
    <row r="351" spans="1:23" x14ac:dyDescent="0.2">
      <c r="A351" t="s">
        <v>509</v>
      </c>
      <c r="B351" t="s">
        <v>157</v>
      </c>
      <c r="C351">
        <v>13.07336473464966</v>
      </c>
      <c r="D351">
        <v>662</v>
      </c>
      <c r="E351">
        <v>1159</v>
      </c>
      <c r="F351">
        <v>7</v>
      </c>
      <c r="G351">
        <v>7</v>
      </c>
      <c r="H351">
        <v>7.1818181818181817</v>
      </c>
      <c r="I351">
        <v>1.662337662337662</v>
      </c>
      <c r="J351">
        <v>2.3272727272727272</v>
      </c>
      <c r="K351">
        <v>1.4</v>
      </c>
      <c r="L351">
        <v>7.8571428571428568</v>
      </c>
      <c r="M351">
        <v>36</v>
      </c>
      <c r="N351">
        <v>4</v>
      </c>
      <c r="O351">
        <v>4</v>
      </c>
      <c r="P351">
        <v>77</v>
      </c>
      <c r="Q351">
        <v>55</v>
      </c>
      <c r="R351">
        <v>7</v>
      </c>
      <c r="S351">
        <v>14</v>
      </c>
      <c r="T351">
        <v>642</v>
      </c>
      <c r="U351">
        <v>74</v>
      </c>
      <c r="V351">
        <v>395</v>
      </c>
      <c r="W351">
        <v>128</v>
      </c>
    </row>
    <row r="352" spans="1:23" x14ac:dyDescent="0.2">
      <c r="A352" t="s">
        <v>510</v>
      </c>
      <c r="B352" t="s">
        <v>157</v>
      </c>
      <c r="C352">
        <v>11.054628849029539</v>
      </c>
      <c r="D352">
        <v>597</v>
      </c>
      <c r="E352">
        <v>388</v>
      </c>
      <c r="F352">
        <v>11</v>
      </c>
      <c r="G352">
        <v>10</v>
      </c>
      <c r="H352">
        <v>152.5</v>
      </c>
      <c r="I352">
        <v>1</v>
      </c>
      <c r="J352">
        <v>1.5249999999999999</v>
      </c>
      <c r="K352">
        <v>1.5249999999999999</v>
      </c>
      <c r="L352">
        <v>4</v>
      </c>
      <c r="M352">
        <v>855</v>
      </c>
      <c r="N352">
        <v>1</v>
      </c>
      <c r="O352">
        <v>2</v>
      </c>
      <c r="P352">
        <v>61</v>
      </c>
      <c r="Q352">
        <v>40</v>
      </c>
      <c r="R352">
        <v>10</v>
      </c>
      <c r="S352">
        <v>11</v>
      </c>
      <c r="T352">
        <v>379</v>
      </c>
      <c r="U352">
        <v>92</v>
      </c>
      <c r="V352">
        <v>6100</v>
      </c>
      <c r="W352">
        <v>61</v>
      </c>
    </row>
    <row r="353" spans="1:23" x14ac:dyDescent="0.2">
      <c r="A353" t="s">
        <v>511</v>
      </c>
      <c r="B353" t="s">
        <v>157</v>
      </c>
      <c r="C353">
        <v>185.93175649642939</v>
      </c>
      <c r="D353">
        <v>710</v>
      </c>
      <c r="E353">
        <v>1294</v>
      </c>
      <c r="F353">
        <v>9</v>
      </c>
      <c r="G353">
        <v>8</v>
      </c>
      <c r="H353">
        <v>1.55</v>
      </c>
      <c r="I353">
        <v>1.1208791208791209</v>
      </c>
      <c r="J353">
        <v>1.7</v>
      </c>
      <c r="K353">
        <v>1.5166666666666671</v>
      </c>
      <c r="L353">
        <v>7.5</v>
      </c>
      <c r="M353">
        <v>2</v>
      </c>
      <c r="N353">
        <v>2</v>
      </c>
      <c r="O353">
        <v>2</v>
      </c>
      <c r="P353">
        <v>91</v>
      </c>
      <c r="Q353">
        <v>60</v>
      </c>
      <c r="R353">
        <v>8</v>
      </c>
      <c r="S353">
        <v>17</v>
      </c>
      <c r="T353">
        <v>918</v>
      </c>
      <c r="U353">
        <v>121</v>
      </c>
      <c r="V353">
        <v>93</v>
      </c>
      <c r="W353">
        <v>102</v>
      </c>
    </row>
    <row r="354" spans="1:23" x14ac:dyDescent="0.2">
      <c r="A354" t="s">
        <v>512</v>
      </c>
      <c r="B354" t="s">
        <v>157</v>
      </c>
      <c r="C354">
        <v>5.3687593936920166</v>
      </c>
      <c r="D354">
        <v>233</v>
      </c>
      <c r="E354">
        <v>139</v>
      </c>
      <c r="F354">
        <v>7</v>
      </c>
      <c r="G354">
        <v>6</v>
      </c>
      <c r="H354">
        <v>5527.6219512195121</v>
      </c>
      <c r="I354">
        <v>1</v>
      </c>
      <c r="J354">
        <v>1.4512195121951219</v>
      </c>
      <c r="K354">
        <v>1.4512195121951219</v>
      </c>
      <c r="L354">
        <v>13.66666666666667</v>
      </c>
      <c r="M354">
        <v>57031</v>
      </c>
      <c r="N354">
        <v>1</v>
      </c>
      <c r="O354">
        <v>2</v>
      </c>
      <c r="P354">
        <v>119</v>
      </c>
      <c r="Q354">
        <v>82</v>
      </c>
      <c r="R354">
        <v>6</v>
      </c>
      <c r="S354">
        <v>7</v>
      </c>
      <c r="T354">
        <v>455</v>
      </c>
      <c r="U354">
        <v>30</v>
      </c>
      <c r="V354">
        <v>453265</v>
      </c>
      <c r="W354">
        <v>119</v>
      </c>
    </row>
    <row r="355" spans="1:23" x14ac:dyDescent="0.2">
      <c r="A355" t="s">
        <v>513</v>
      </c>
      <c r="B355" t="s">
        <v>157</v>
      </c>
      <c r="C355">
        <v>13.973415374755859</v>
      </c>
      <c r="D355">
        <v>13721</v>
      </c>
      <c r="E355">
        <v>30431</v>
      </c>
      <c r="F355">
        <v>17</v>
      </c>
      <c r="G355">
        <v>16</v>
      </c>
      <c r="H355">
        <v>0</v>
      </c>
      <c r="I355">
        <v>1.032520325203252</v>
      </c>
      <c r="J355">
        <v>1.984375</v>
      </c>
      <c r="K355">
        <v>1.921875</v>
      </c>
      <c r="L355">
        <v>4</v>
      </c>
      <c r="M355">
        <v>0</v>
      </c>
      <c r="N355">
        <v>2</v>
      </c>
      <c r="O355">
        <v>2</v>
      </c>
      <c r="P355">
        <v>123</v>
      </c>
      <c r="Q355">
        <v>64</v>
      </c>
      <c r="R355">
        <v>16</v>
      </c>
      <c r="S355">
        <v>21</v>
      </c>
      <c r="T355">
        <v>1217</v>
      </c>
      <c r="U355">
        <v>304</v>
      </c>
      <c r="V355">
        <v>0</v>
      </c>
      <c r="W355">
        <v>127</v>
      </c>
    </row>
    <row r="356" spans="1:23" x14ac:dyDescent="0.2">
      <c r="A356" t="s">
        <v>514</v>
      </c>
      <c r="B356" t="s">
        <v>157</v>
      </c>
      <c r="C356">
        <v>10.09273624420166</v>
      </c>
      <c r="D356">
        <v>377</v>
      </c>
      <c r="E356">
        <v>627</v>
      </c>
      <c r="F356">
        <v>7</v>
      </c>
      <c r="G356">
        <v>6</v>
      </c>
      <c r="H356">
        <v>6.5490196078431371</v>
      </c>
      <c r="I356">
        <v>1.3787878787878789</v>
      </c>
      <c r="J356">
        <v>1.784313725490196</v>
      </c>
      <c r="K356">
        <v>1.294117647058824</v>
      </c>
      <c r="L356">
        <v>8.5</v>
      </c>
      <c r="M356">
        <v>50</v>
      </c>
      <c r="N356">
        <v>2</v>
      </c>
      <c r="O356">
        <v>2</v>
      </c>
      <c r="P356">
        <v>66</v>
      </c>
      <c r="Q356">
        <v>51</v>
      </c>
      <c r="R356">
        <v>6</v>
      </c>
      <c r="S356">
        <v>13</v>
      </c>
      <c r="T356">
        <v>572</v>
      </c>
      <c r="U356">
        <v>66</v>
      </c>
      <c r="V356">
        <v>334</v>
      </c>
      <c r="W356">
        <v>91</v>
      </c>
    </row>
    <row r="357" spans="1:23" x14ac:dyDescent="0.2">
      <c r="A357" t="s">
        <v>515</v>
      </c>
      <c r="B357" t="s">
        <v>157</v>
      </c>
      <c r="C357">
        <v>876.91193604469299</v>
      </c>
      <c r="D357">
        <v>3786</v>
      </c>
      <c r="E357">
        <v>6872</v>
      </c>
      <c r="F357">
        <v>10</v>
      </c>
      <c r="G357">
        <v>9</v>
      </c>
      <c r="H357">
        <v>9.5581395348837201</v>
      </c>
      <c r="I357">
        <v>1.681159420289855</v>
      </c>
      <c r="J357">
        <v>2.6976744186046511</v>
      </c>
      <c r="K357">
        <v>1.6046511627906981</v>
      </c>
      <c r="L357">
        <v>4.7777777777777777</v>
      </c>
      <c r="M357">
        <v>50</v>
      </c>
      <c r="N357">
        <v>4</v>
      </c>
      <c r="O357">
        <v>3</v>
      </c>
      <c r="P357">
        <v>69</v>
      </c>
      <c r="Q357">
        <v>43</v>
      </c>
      <c r="R357">
        <v>9</v>
      </c>
      <c r="S357">
        <v>25</v>
      </c>
      <c r="T357">
        <v>959</v>
      </c>
      <c r="U357">
        <v>193</v>
      </c>
      <c r="V357">
        <v>411</v>
      </c>
      <c r="W357">
        <v>116</v>
      </c>
    </row>
    <row r="358" spans="1:23" x14ac:dyDescent="0.2">
      <c r="A358" t="s">
        <v>516</v>
      </c>
      <c r="B358" t="s">
        <v>157</v>
      </c>
      <c r="C358">
        <v>11.23433923721314</v>
      </c>
      <c r="D358">
        <v>266</v>
      </c>
      <c r="E358">
        <v>389</v>
      </c>
      <c r="F358">
        <v>9</v>
      </c>
      <c r="G358">
        <v>8</v>
      </c>
      <c r="H358">
        <v>130</v>
      </c>
      <c r="I358">
        <v>1.053763440860215</v>
      </c>
      <c r="J358">
        <v>1.92156862745098</v>
      </c>
      <c r="K358">
        <v>1.8235294117647061</v>
      </c>
      <c r="L358">
        <v>6.375</v>
      </c>
      <c r="M358">
        <v>1056</v>
      </c>
      <c r="N358">
        <v>2</v>
      </c>
      <c r="O358">
        <v>3</v>
      </c>
      <c r="P358">
        <v>93</v>
      </c>
      <c r="Q358">
        <v>51</v>
      </c>
      <c r="R358">
        <v>8</v>
      </c>
      <c r="S358">
        <v>10</v>
      </c>
      <c r="T358">
        <v>412</v>
      </c>
      <c r="U358">
        <v>62</v>
      </c>
      <c r="V358">
        <v>6630</v>
      </c>
      <c r="W358">
        <v>98</v>
      </c>
    </row>
    <row r="359" spans="1:23" x14ac:dyDescent="0.2">
      <c r="A359" t="s">
        <v>517</v>
      </c>
      <c r="B359" t="s">
        <v>157</v>
      </c>
      <c r="C359">
        <v>1727.6637125015261</v>
      </c>
      <c r="D359">
        <v>2632</v>
      </c>
      <c r="E359">
        <v>4146</v>
      </c>
      <c r="F359">
        <v>10</v>
      </c>
      <c r="G359">
        <v>9</v>
      </c>
      <c r="H359">
        <v>0.69811320754716977</v>
      </c>
      <c r="I359">
        <v>1</v>
      </c>
      <c r="J359">
        <v>2.0188679245283021</v>
      </c>
      <c r="K359">
        <v>2.0188679245283021</v>
      </c>
      <c r="L359">
        <v>5.8888888888888893</v>
      </c>
      <c r="M359">
        <v>8</v>
      </c>
      <c r="N359">
        <v>1</v>
      </c>
      <c r="O359">
        <v>3</v>
      </c>
      <c r="P359">
        <v>107</v>
      </c>
      <c r="Q359">
        <v>53</v>
      </c>
      <c r="R359">
        <v>9</v>
      </c>
      <c r="S359">
        <v>10</v>
      </c>
      <c r="T359">
        <v>423</v>
      </c>
      <c r="U359">
        <v>66</v>
      </c>
      <c r="V359">
        <v>37</v>
      </c>
      <c r="W359">
        <v>107</v>
      </c>
    </row>
    <row r="360" spans="1:23" x14ac:dyDescent="0.2">
      <c r="A360" t="s">
        <v>518</v>
      </c>
      <c r="B360" t="s">
        <v>157</v>
      </c>
      <c r="C360">
        <v>56.788970232009888</v>
      </c>
      <c r="D360">
        <v>495</v>
      </c>
      <c r="E360">
        <v>412</v>
      </c>
      <c r="F360">
        <v>11</v>
      </c>
      <c r="G360">
        <v>10</v>
      </c>
      <c r="H360">
        <v>67.400000000000006</v>
      </c>
      <c r="I360">
        <v>1</v>
      </c>
      <c r="J360">
        <v>1.5249999999999999</v>
      </c>
      <c r="K360">
        <v>1.5249999999999999</v>
      </c>
      <c r="L360">
        <v>4</v>
      </c>
      <c r="M360">
        <v>595</v>
      </c>
      <c r="N360">
        <v>1</v>
      </c>
      <c r="O360">
        <v>2</v>
      </c>
      <c r="P360">
        <v>61</v>
      </c>
      <c r="Q360">
        <v>40</v>
      </c>
      <c r="R360">
        <v>10</v>
      </c>
      <c r="S360">
        <v>11</v>
      </c>
      <c r="T360">
        <v>379</v>
      </c>
      <c r="U360">
        <v>92</v>
      </c>
      <c r="V360">
        <v>2696</v>
      </c>
      <c r="W360">
        <v>61</v>
      </c>
    </row>
    <row r="361" spans="1:23" x14ac:dyDescent="0.2">
      <c r="A361" t="s">
        <v>519</v>
      </c>
      <c r="B361" t="s">
        <v>158</v>
      </c>
      <c r="C361" t="s">
        <v>159</v>
      </c>
      <c r="D361" t="s">
        <v>159</v>
      </c>
      <c r="E361" t="s">
        <v>159</v>
      </c>
      <c r="F361" t="s">
        <v>159</v>
      </c>
      <c r="G361" t="s">
        <v>159</v>
      </c>
      <c r="H361" t="s">
        <v>159</v>
      </c>
      <c r="I361" t="s">
        <v>159</v>
      </c>
      <c r="J361" t="s">
        <v>159</v>
      </c>
      <c r="K361" t="s">
        <v>159</v>
      </c>
      <c r="L361" t="s">
        <v>159</v>
      </c>
      <c r="M361" t="s">
        <v>159</v>
      </c>
      <c r="N361" t="s">
        <v>159</v>
      </c>
      <c r="O361" t="s">
        <v>159</v>
      </c>
      <c r="P361" t="s">
        <v>159</v>
      </c>
      <c r="Q361" t="s">
        <v>159</v>
      </c>
      <c r="R361" t="s">
        <v>159</v>
      </c>
      <c r="S361" t="s">
        <v>159</v>
      </c>
      <c r="T361" t="s">
        <v>159</v>
      </c>
      <c r="U361" t="s">
        <v>159</v>
      </c>
      <c r="V361" t="s">
        <v>159</v>
      </c>
      <c r="W361" t="s">
        <v>159</v>
      </c>
    </row>
    <row r="362" spans="1:23" x14ac:dyDescent="0.2">
      <c r="A362" t="s">
        <v>520</v>
      </c>
      <c r="B362" t="s">
        <v>157</v>
      </c>
      <c r="C362">
        <v>122.27077126502989</v>
      </c>
      <c r="D362">
        <v>1030</v>
      </c>
      <c r="E362">
        <v>1303</v>
      </c>
      <c r="F362">
        <v>9</v>
      </c>
      <c r="G362">
        <v>8</v>
      </c>
      <c r="H362">
        <v>0.67441860465116277</v>
      </c>
      <c r="I362">
        <v>1</v>
      </c>
      <c r="J362">
        <v>1.930232558139535</v>
      </c>
      <c r="K362">
        <v>1.930232558139535</v>
      </c>
      <c r="L362">
        <v>5.375</v>
      </c>
      <c r="M362">
        <v>7</v>
      </c>
      <c r="N362">
        <v>1</v>
      </c>
      <c r="O362">
        <v>3</v>
      </c>
      <c r="P362">
        <v>83</v>
      </c>
      <c r="Q362">
        <v>43</v>
      </c>
      <c r="R362">
        <v>8</v>
      </c>
      <c r="S362">
        <v>9</v>
      </c>
      <c r="T362">
        <v>304</v>
      </c>
      <c r="U362">
        <v>51</v>
      </c>
      <c r="V362">
        <v>29</v>
      </c>
      <c r="W362">
        <v>83</v>
      </c>
    </row>
    <row r="363" spans="1:23" x14ac:dyDescent="0.2">
      <c r="A363" t="s">
        <v>521</v>
      </c>
      <c r="B363" t="s">
        <v>157</v>
      </c>
      <c r="C363">
        <v>687.07616472244263</v>
      </c>
      <c r="D363">
        <v>2484</v>
      </c>
      <c r="E363">
        <v>3946</v>
      </c>
      <c r="F363">
        <v>10</v>
      </c>
      <c r="G363">
        <v>9</v>
      </c>
      <c r="H363">
        <v>0.69811320754716977</v>
      </c>
      <c r="I363">
        <v>1</v>
      </c>
      <c r="J363">
        <v>2.0188679245283021</v>
      </c>
      <c r="K363">
        <v>2.0188679245283021</v>
      </c>
      <c r="L363">
        <v>5.8888888888888893</v>
      </c>
      <c r="M363">
        <v>8</v>
      </c>
      <c r="N363">
        <v>1</v>
      </c>
      <c r="O363">
        <v>3</v>
      </c>
      <c r="P363">
        <v>107</v>
      </c>
      <c r="Q363">
        <v>53</v>
      </c>
      <c r="R363">
        <v>9</v>
      </c>
      <c r="S363">
        <v>10</v>
      </c>
      <c r="T363">
        <v>423</v>
      </c>
      <c r="U363">
        <v>66</v>
      </c>
      <c r="V363">
        <v>37</v>
      </c>
      <c r="W363">
        <v>107</v>
      </c>
    </row>
    <row r="364" spans="1:23" x14ac:dyDescent="0.2">
      <c r="A364" t="s">
        <v>522</v>
      </c>
      <c r="B364" t="s">
        <v>157</v>
      </c>
      <c r="C364">
        <v>3.4147129058837891</v>
      </c>
      <c r="D364">
        <v>6485</v>
      </c>
      <c r="E364">
        <v>9613</v>
      </c>
      <c r="F364">
        <v>17</v>
      </c>
      <c r="G364">
        <v>16</v>
      </c>
      <c r="H364">
        <v>0</v>
      </c>
      <c r="I364">
        <v>1.032520325203252</v>
      </c>
      <c r="J364">
        <v>1.984375</v>
      </c>
      <c r="K364">
        <v>1.921875</v>
      </c>
      <c r="L364">
        <v>4</v>
      </c>
      <c r="M364">
        <v>0</v>
      </c>
      <c r="N364">
        <v>2</v>
      </c>
      <c r="O364">
        <v>2</v>
      </c>
      <c r="P364">
        <v>123</v>
      </c>
      <c r="Q364">
        <v>64</v>
      </c>
      <c r="R364">
        <v>16</v>
      </c>
      <c r="S364">
        <v>21</v>
      </c>
      <c r="T364">
        <v>1217</v>
      </c>
      <c r="U364">
        <v>304</v>
      </c>
      <c r="V364">
        <v>0</v>
      </c>
      <c r="W364">
        <v>127</v>
      </c>
    </row>
    <row r="365" spans="1:23" x14ac:dyDescent="0.2">
      <c r="A365" t="s">
        <v>523</v>
      </c>
      <c r="B365" t="s">
        <v>157</v>
      </c>
      <c r="C365">
        <v>59.268817186355591</v>
      </c>
      <c r="D365">
        <v>398</v>
      </c>
      <c r="E365">
        <v>762</v>
      </c>
      <c r="F365">
        <v>9</v>
      </c>
      <c r="G365">
        <v>8</v>
      </c>
      <c r="H365">
        <v>49.784313725490193</v>
      </c>
      <c r="I365">
        <v>1.056179775280899</v>
      </c>
      <c r="J365">
        <v>1.8431372549019609</v>
      </c>
      <c r="K365">
        <v>1.7450980392156861</v>
      </c>
      <c r="L365">
        <v>6.375</v>
      </c>
      <c r="M365">
        <v>284</v>
      </c>
      <c r="N365">
        <v>2</v>
      </c>
      <c r="O365">
        <v>3</v>
      </c>
      <c r="P365">
        <v>89</v>
      </c>
      <c r="Q365">
        <v>51</v>
      </c>
      <c r="R365">
        <v>8</v>
      </c>
      <c r="S365">
        <v>10</v>
      </c>
      <c r="T365">
        <v>416</v>
      </c>
      <c r="U365">
        <v>62</v>
      </c>
      <c r="V365">
        <v>2539</v>
      </c>
      <c r="W365">
        <v>94</v>
      </c>
    </row>
    <row r="366" spans="1:23" x14ac:dyDescent="0.2">
      <c r="A366" t="s">
        <v>524</v>
      </c>
      <c r="B366" t="s">
        <v>157</v>
      </c>
      <c r="C366">
        <v>9.9884383678436279</v>
      </c>
      <c r="D366">
        <v>377</v>
      </c>
      <c r="E366">
        <v>623</v>
      </c>
      <c r="F366">
        <v>7</v>
      </c>
      <c r="G366">
        <v>6</v>
      </c>
      <c r="H366">
        <v>6.5490196078431371</v>
      </c>
      <c r="I366">
        <v>1.3787878787878789</v>
      </c>
      <c r="J366">
        <v>1.784313725490196</v>
      </c>
      <c r="K366">
        <v>1.294117647058824</v>
      </c>
      <c r="L366">
        <v>8.5</v>
      </c>
      <c r="M366">
        <v>50</v>
      </c>
      <c r="N366">
        <v>2</v>
      </c>
      <c r="O366">
        <v>2</v>
      </c>
      <c r="P366">
        <v>66</v>
      </c>
      <c r="Q366">
        <v>51</v>
      </c>
      <c r="R366">
        <v>6</v>
      </c>
      <c r="S366">
        <v>13</v>
      </c>
      <c r="T366">
        <v>572</v>
      </c>
      <c r="U366">
        <v>66</v>
      </c>
      <c r="V366">
        <v>334</v>
      </c>
      <c r="W366">
        <v>91</v>
      </c>
    </row>
    <row r="367" spans="1:23" x14ac:dyDescent="0.2">
      <c r="A367" t="s">
        <v>525</v>
      </c>
      <c r="B367" t="s">
        <v>157</v>
      </c>
      <c r="C367">
        <v>394.18057107925421</v>
      </c>
      <c r="D367">
        <v>699</v>
      </c>
      <c r="E367">
        <v>1630</v>
      </c>
      <c r="F367">
        <v>9</v>
      </c>
      <c r="G367">
        <v>8</v>
      </c>
      <c r="H367">
        <v>1.55</v>
      </c>
      <c r="I367">
        <v>1.1208791208791209</v>
      </c>
      <c r="J367">
        <v>1.7</v>
      </c>
      <c r="K367">
        <v>1.5166666666666671</v>
      </c>
      <c r="L367">
        <v>7.5</v>
      </c>
      <c r="M367">
        <v>2</v>
      </c>
      <c r="N367">
        <v>2</v>
      </c>
      <c r="O367">
        <v>2</v>
      </c>
      <c r="P367">
        <v>91</v>
      </c>
      <c r="Q367">
        <v>60</v>
      </c>
      <c r="R367">
        <v>8</v>
      </c>
      <c r="S367">
        <v>17</v>
      </c>
      <c r="T367">
        <v>918</v>
      </c>
      <c r="U367">
        <v>121</v>
      </c>
      <c r="V367">
        <v>93</v>
      </c>
      <c r="W367">
        <v>102</v>
      </c>
    </row>
    <row r="368" spans="1:23" x14ac:dyDescent="0.2">
      <c r="A368" t="s">
        <v>526</v>
      </c>
      <c r="B368" t="s">
        <v>157</v>
      </c>
      <c r="C368">
        <v>18.582178354263309</v>
      </c>
      <c r="D368">
        <v>270</v>
      </c>
      <c r="E368">
        <v>401</v>
      </c>
      <c r="F368">
        <v>8</v>
      </c>
      <c r="G368">
        <v>7</v>
      </c>
      <c r="H368">
        <v>1.5106382978723401</v>
      </c>
      <c r="I368">
        <v>1.130434782608696</v>
      </c>
      <c r="J368">
        <v>1.6595744680851059</v>
      </c>
      <c r="K368">
        <v>1.468085106382979</v>
      </c>
      <c r="L368">
        <v>6.7142857142857144</v>
      </c>
      <c r="M368">
        <v>2</v>
      </c>
      <c r="N368">
        <v>2</v>
      </c>
      <c r="O368">
        <v>2</v>
      </c>
      <c r="P368">
        <v>69</v>
      </c>
      <c r="Q368">
        <v>47</v>
      </c>
      <c r="R368">
        <v>7</v>
      </c>
      <c r="S368">
        <v>15</v>
      </c>
      <c r="T368">
        <v>627</v>
      </c>
      <c r="U368">
        <v>92</v>
      </c>
      <c r="V368">
        <v>71</v>
      </c>
      <c r="W368">
        <v>78</v>
      </c>
    </row>
    <row r="369" spans="1:23" x14ac:dyDescent="0.2">
      <c r="A369" t="s">
        <v>527</v>
      </c>
      <c r="B369" t="s">
        <v>157</v>
      </c>
      <c r="C369">
        <v>79.476153135299683</v>
      </c>
      <c r="D369">
        <v>473</v>
      </c>
      <c r="E369">
        <v>826</v>
      </c>
      <c r="F369">
        <v>9</v>
      </c>
      <c r="G369">
        <v>8</v>
      </c>
      <c r="H369">
        <v>0.65116279069767447</v>
      </c>
      <c r="I369">
        <v>1</v>
      </c>
      <c r="J369">
        <v>1.441860465116279</v>
      </c>
      <c r="K369">
        <v>1.441860465116279</v>
      </c>
      <c r="L369">
        <v>5.375</v>
      </c>
      <c r="M369">
        <v>7</v>
      </c>
      <c r="N369">
        <v>1</v>
      </c>
      <c r="O369">
        <v>2</v>
      </c>
      <c r="P369">
        <v>62</v>
      </c>
      <c r="Q369">
        <v>43</v>
      </c>
      <c r="R369">
        <v>8</v>
      </c>
      <c r="S369">
        <v>9</v>
      </c>
      <c r="T369">
        <v>325</v>
      </c>
      <c r="U369">
        <v>58</v>
      </c>
      <c r="V369">
        <v>28</v>
      </c>
      <c r="W369">
        <v>62</v>
      </c>
    </row>
    <row r="370" spans="1:23" x14ac:dyDescent="0.2">
      <c r="A370" t="s">
        <v>528</v>
      </c>
      <c r="B370" t="s">
        <v>157</v>
      </c>
      <c r="C370">
        <v>1122.46417760849</v>
      </c>
      <c r="D370">
        <v>2881</v>
      </c>
      <c r="E370">
        <v>4056</v>
      </c>
      <c r="F370">
        <v>10</v>
      </c>
      <c r="G370">
        <v>9</v>
      </c>
      <c r="H370">
        <v>0.69811320754716977</v>
      </c>
      <c r="I370">
        <v>1</v>
      </c>
      <c r="J370">
        <v>2.0188679245283021</v>
      </c>
      <c r="K370">
        <v>2.0188679245283021</v>
      </c>
      <c r="L370">
        <v>5.8888888888888893</v>
      </c>
      <c r="M370">
        <v>8</v>
      </c>
      <c r="N370">
        <v>1</v>
      </c>
      <c r="O370">
        <v>3</v>
      </c>
      <c r="P370">
        <v>107</v>
      </c>
      <c r="Q370">
        <v>53</v>
      </c>
      <c r="R370">
        <v>9</v>
      </c>
      <c r="S370">
        <v>10</v>
      </c>
      <c r="T370">
        <v>423</v>
      </c>
      <c r="U370">
        <v>66</v>
      </c>
      <c r="V370">
        <v>37</v>
      </c>
      <c r="W370">
        <v>107</v>
      </c>
    </row>
    <row r="371" spans="1:23" x14ac:dyDescent="0.2">
      <c r="A371" t="s">
        <v>529</v>
      </c>
      <c r="B371" t="s">
        <v>157</v>
      </c>
      <c r="C371">
        <v>348.37760400772089</v>
      </c>
      <c r="D371">
        <v>30</v>
      </c>
      <c r="E371">
        <v>3303</v>
      </c>
      <c r="F371">
        <v>4</v>
      </c>
      <c r="G371">
        <v>4</v>
      </c>
      <c r="H371">
        <v>138227.3846153846</v>
      </c>
      <c r="I371">
        <v>1.607142857142857</v>
      </c>
      <c r="J371">
        <v>3.4615384615384621</v>
      </c>
      <c r="K371">
        <v>2.1538461538461542</v>
      </c>
      <c r="L371">
        <v>13</v>
      </c>
      <c r="M371">
        <v>2985984</v>
      </c>
      <c r="N371">
        <v>3</v>
      </c>
      <c r="O371">
        <v>3</v>
      </c>
      <c r="P371">
        <v>112</v>
      </c>
      <c r="Q371">
        <v>52</v>
      </c>
      <c r="R371">
        <v>4</v>
      </c>
      <c r="S371">
        <v>12</v>
      </c>
      <c r="T371">
        <v>444</v>
      </c>
      <c r="U371">
        <v>26</v>
      </c>
      <c r="V371">
        <v>7187824</v>
      </c>
      <c r="W371">
        <v>180</v>
      </c>
    </row>
    <row r="372" spans="1:23" x14ac:dyDescent="0.2">
      <c r="A372" t="s">
        <v>530</v>
      </c>
      <c r="B372" t="s">
        <v>158</v>
      </c>
      <c r="C372" t="s">
        <v>159</v>
      </c>
      <c r="D372" t="s">
        <v>159</v>
      </c>
      <c r="E372" t="s">
        <v>159</v>
      </c>
      <c r="F372" t="s">
        <v>159</v>
      </c>
      <c r="G372" t="s">
        <v>159</v>
      </c>
      <c r="H372" t="s">
        <v>159</v>
      </c>
      <c r="I372" t="s">
        <v>159</v>
      </c>
      <c r="J372" t="s">
        <v>159</v>
      </c>
      <c r="K372" t="s">
        <v>159</v>
      </c>
      <c r="L372" t="s">
        <v>159</v>
      </c>
      <c r="M372" t="s">
        <v>159</v>
      </c>
      <c r="N372" t="s">
        <v>159</v>
      </c>
      <c r="O372" t="s">
        <v>159</v>
      </c>
      <c r="P372" t="s">
        <v>159</v>
      </c>
      <c r="Q372" t="s">
        <v>159</v>
      </c>
      <c r="R372" t="s">
        <v>159</v>
      </c>
      <c r="S372" t="s">
        <v>159</v>
      </c>
      <c r="T372" t="s">
        <v>159</v>
      </c>
      <c r="U372" t="s">
        <v>159</v>
      </c>
      <c r="V372" t="s">
        <v>159</v>
      </c>
      <c r="W372" t="s">
        <v>159</v>
      </c>
    </row>
    <row r="373" spans="1:23" x14ac:dyDescent="0.2">
      <c r="A373" t="s">
        <v>531</v>
      </c>
      <c r="B373" t="s">
        <v>157</v>
      </c>
      <c r="C373">
        <v>37.270528793334961</v>
      </c>
      <c r="D373">
        <v>458</v>
      </c>
      <c r="E373">
        <v>783</v>
      </c>
      <c r="F373">
        <v>9</v>
      </c>
      <c r="G373">
        <v>8</v>
      </c>
      <c r="H373">
        <v>0.65116279069767447</v>
      </c>
      <c r="I373">
        <v>1</v>
      </c>
      <c r="J373">
        <v>1.441860465116279</v>
      </c>
      <c r="K373">
        <v>1.441860465116279</v>
      </c>
      <c r="L373">
        <v>5.375</v>
      </c>
      <c r="M373">
        <v>7</v>
      </c>
      <c r="N373">
        <v>1</v>
      </c>
      <c r="O373">
        <v>2</v>
      </c>
      <c r="P373">
        <v>62</v>
      </c>
      <c r="Q373">
        <v>43</v>
      </c>
      <c r="R373">
        <v>8</v>
      </c>
      <c r="S373">
        <v>9</v>
      </c>
      <c r="T373">
        <v>325</v>
      </c>
      <c r="U373">
        <v>58</v>
      </c>
      <c r="V373">
        <v>28</v>
      </c>
      <c r="W373">
        <v>62</v>
      </c>
    </row>
    <row r="374" spans="1:23" x14ac:dyDescent="0.2">
      <c r="A374" t="s">
        <v>532</v>
      </c>
      <c r="B374" t="s">
        <v>158</v>
      </c>
      <c r="C374" t="s">
        <v>159</v>
      </c>
      <c r="D374" t="s">
        <v>159</v>
      </c>
      <c r="E374" t="s">
        <v>159</v>
      </c>
      <c r="F374" t="s">
        <v>159</v>
      </c>
      <c r="G374" t="s">
        <v>159</v>
      </c>
      <c r="H374" t="s">
        <v>159</v>
      </c>
      <c r="I374" t="s">
        <v>159</v>
      </c>
      <c r="J374" t="s">
        <v>159</v>
      </c>
      <c r="K374" t="s">
        <v>159</v>
      </c>
      <c r="L374" t="s">
        <v>159</v>
      </c>
      <c r="M374" t="s">
        <v>159</v>
      </c>
      <c r="N374" t="s">
        <v>159</v>
      </c>
      <c r="O374" t="s">
        <v>159</v>
      </c>
      <c r="P374" t="s">
        <v>159</v>
      </c>
      <c r="Q374" t="s">
        <v>159</v>
      </c>
      <c r="R374" t="s">
        <v>159</v>
      </c>
      <c r="S374" t="s">
        <v>159</v>
      </c>
      <c r="T374" t="s">
        <v>159</v>
      </c>
      <c r="U374" t="s">
        <v>159</v>
      </c>
      <c r="V374" t="s">
        <v>159</v>
      </c>
      <c r="W374" t="s">
        <v>159</v>
      </c>
    </row>
    <row r="375" spans="1:23" x14ac:dyDescent="0.2">
      <c r="A375" t="s">
        <v>533</v>
      </c>
      <c r="B375" t="s">
        <v>157</v>
      </c>
      <c r="C375">
        <v>243.0424702167511</v>
      </c>
      <c r="D375">
        <v>627</v>
      </c>
      <c r="E375">
        <v>1236</v>
      </c>
      <c r="F375">
        <v>9</v>
      </c>
      <c r="G375">
        <v>8</v>
      </c>
      <c r="H375">
        <v>1.55</v>
      </c>
      <c r="I375">
        <v>1.1208791208791209</v>
      </c>
      <c r="J375">
        <v>1.7</v>
      </c>
      <c r="K375">
        <v>1.5166666666666671</v>
      </c>
      <c r="L375">
        <v>7.5</v>
      </c>
      <c r="M375">
        <v>2</v>
      </c>
      <c r="N375">
        <v>2</v>
      </c>
      <c r="O375">
        <v>2</v>
      </c>
      <c r="P375">
        <v>91</v>
      </c>
      <c r="Q375">
        <v>60</v>
      </c>
      <c r="R375">
        <v>8</v>
      </c>
      <c r="S375">
        <v>17</v>
      </c>
      <c r="T375">
        <v>918</v>
      </c>
      <c r="U375">
        <v>121</v>
      </c>
      <c r="V375">
        <v>93</v>
      </c>
      <c r="W375">
        <v>102</v>
      </c>
    </row>
    <row r="376" spans="1:23" x14ac:dyDescent="0.2">
      <c r="A376" t="s">
        <v>534</v>
      </c>
      <c r="B376" t="s">
        <v>157</v>
      </c>
      <c r="C376">
        <v>24.775027513504028</v>
      </c>
      <c r="D376">
        <v>277</v>
      </c>
      <c r="E376">
        <v>392</v>
      </c>
      <c r="F376">
        <v>8</v>
      </c>
      <c r="G376">
        <v>7</v>
      </c>
      <c r="H376">
        <v>1.5106382978723401</v>
      </c>
      <c r="I376">
        <v>1.130434782608696</v>
      </c>
      <c r="J376">
        <v>1.6595744680851059</v>
      </c>
      <c r="K376">
        <v>1.468085106382979</v>
      </c>
      <c r="L376">
        <v>6.7142857142857144</v>
      </c>
      <c r="M376">
        <v>2</v>
      </c>
      <c r="N376">
        <v>2</v>
      </c>
      <c r="O376">
        <v>2</v>
      </c>
      <c r="P376">
        <v>69</v>
      </c>
      <c r="Q376">
        <v>47</v>
      </c>
      <c r="R376">
        <v>7</v>
      </c>
      <c r="S376">
        <v>15</v>
      </c>
      <c r="T376">
        <v>627</v>
      </c>
      <c r="U376">
        <v>92</v>
      </c>
      <c r="V376">
        <v>71</v>
      </c>
      <c r="W376">
        <v>78</v>
      </c>
    </row>
    <row r="377" spans="1:23" x14ac:dyDescent="0.2">
      <c r="A377" t="s">
        <v>535</v>
      </c>
      <c r="B377" t="s">
        <v>158</v>
      </c>
      <c r="C377" t="s">
        <v>159</v>
      </c>
      <c r="D377" t="s">
        <v>159</v>
      </c>
      <c r="E377" t="s">
        <v>159</v>
      </c>
      <c r="F377" t="s">
        <v>159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  <c r="N377" t="s">
        <v>159</v>
      </c>
      <c r="O377" t="s">
        <v>159</v>
      </c>
      <c r="P377" t="s">
        <v>159</v>
      </c>
      <c r="Q377" t="s">
        <v>159</v>
      </c>
      <c r="R377" t="s">
        <v>159</v>
      </c>
      <c r="S377" t="s">
        <v>159</v>
      </c>
      <c r="T377" t="s">
        <v>159</v>
      </c>
      <c r="U377" t="s">
        <v>159</v>
      </c>
      <c r="V377" t="s">
        <v>159</v>
      </c>
      <c r="W377" t="s">
        <v>159</v>
      </c>
    </row>
    <row r="378" spans="1:23" x14ac:dyDescent="0.2">
      <c r="A378" t="s">
        <v>536</v>
      </c>
      <c r="B378" t="s">
        <v>157</v>
      </c>
      <c r="C378">
        <v>5785.2018384933472</v>
      </c>
      <c r="D378">
        <v>2650</v>
      </c>
      <c r="E378">
        <v>4986</v>
      </c>
      <c r="F378">
        <v>10</v>
      </c>
      <c r="G378">
        <v>9</v>
      </c>
      <c r="H378">
        <v>58996447823233.078</v>
      </c>
      <c r="I378">
        <v>1.033175355450237</v>
      </c>
      <c r="J378">
        <v>2.116504854368932</v>
      </c>
      <c r="K378">
        <v>2.0485436893203879</v>
      </c>
      <c r="L378">
        <v>11.444444444444439</v>
      </c>
      <c r="M378">
        <v>1212982689600000</v>
      </c>
      <c r="N378">
        <v>2</v>
      </c>
      <c r="O378">
        <v>4</v>
      </c>
      <c r="P378">
        <v>211</v>
      </c>
      <c r="Q378">
        <v>103</v>
      </c>
      <c r="R378">
        <v>9</v>
      </c>
      <c r="S378">
        <v>19</v>
      </c>
      <c r="T378">
        <v>1739</v>
      </c>
      <c r="U378">
        <v>145</v>
      </c>
      <c r="V378">
        <v>6076634125793007</v>
      </c>
      <c r="W378">
        <v>218</v>
      </c>
    </row>
    <row r="379" spans="1:23" x14ac:dyDescent="0.2">
      <c r="A379" t="s">
        <v>537</v>
      </c>
      <c r="B379" t="s">
        <v>157</v>
      </c>
      <c r="C379">
        <v>34.444140911102288</v>
      </c>
      <c r="D379">
        <v>510</v>
      </c>
      <c r="E379">
        <v>879</v>
      </c>
      <c r="F379">
        <v>8</v>
      </c>
      <c r="G379">
        <v>7</v>
      </c>
      <c r="H379">
        <v>0.6470588235294118</v>
      </c>
      <c r="I379">
        <v>1</v>
      </c>
      <c r="J379">
        <v>1.6764705882352939</v>
      </c>
      <c r="K379">
        <v>1.6764705882352939</v>
      </c>
      <c r="L379">
        <v>4.8571428571428568</v>
      </c>
      <c r="M379">
        <v>6</v>
      </c>
      <c r="N379">
        <v>1</v>
      </c>
      <c r="O379">
        <v>3</v>
      </c>
      <c r="P379">
        <v>57</v>
      </c>
      <c r="Q379">
        <v>34</v>
      </c>
      <c r="R379">
        <v>7</v>
      </c>
      <c r="S379">
        <v>8</v>
      </c>
      <c r="T379">
        <v>215</v>
      </c>
      <c r="U379">
        <v>38</v>
      </c>
      <c r="V379">
        <v>22</v>
      </c>
      <c r="W379">
        <v>57</v>
      </c>
    </row>
    <row r="380" spans="1:23" x14ac:dyDescent="0.2">
      <c r="A380" t="s">
        <v>538</v>
      </c>
      <c r="B380" t="s">
        <v>157</v>
      </c>
      <c r="C380">
        <v>425.85165691375732</v>
      </c>
      <c r="D380">
        <v>874</v>
      </c>
      <c r="E380">
        <v>22557</v>
      </c>
      <c r="F380">
        <v>7</v>
      </c>
      <c r="G380">
        <v>6</v>
      </c>
      <c r="H380">
        <v>7.1428571428571425E-2</v>
      </c>
      <c r="I380">
        <v>1.1818181818181821</v>
      </c>
      <c r="J380">
        <v>2.3214285714285721</v>
      </c>
      <c r="K380">
        <v>1.964285714285714</v>
      </c>
      <c r="L380">
        <v>4.666666666666667</v>
      </c>
      <c r="M380">
        <v>1</v>
      </c>
      <c r="N380">
        <v>5</v>
      </c>
      <c r="O380">
        <v>4</v>
      </c>
      <c r="P380">
        <v>55</v>
      </c>
      <c r="Q380">
        <v>28</v>
      </c>
      <c r="R380">
        <v>6</v>
      </c>
      <c r="S380">
        <v>11</v>
      </c>
      <c r="T380">
        <v>243</v>
      </c>
      <c r="U380">
        <v>47</v>
      </c>
      <c r="V380">
        <v>2</v>
      </c>
      <c r="W380">
        <v>65</v>
      </c>
    </row>
    <row r="381" spans="1:23" x14ac:dyDescent="0.2">
      <c r="A381" t="s">
        <v>539</v>
      </c>
      <c r="B381" t="s">
        <v>157</v>
      </c>
      <c r="C381">
        <v>5521.0446577072144</v>
      </c>
      <c r="D381">
        <v>5257</v>
      </c>
      <c r="E381">
        <v>18606</v>
      </c>
      <c r="F381">
        <v>13</v>
      </c>
      <c r="G381">
        <v>12</v>
      </c>
      <c r="H381">
        <v>5549.304347826087</v>
      </c>
      <c r="I381">
        <v>1.2068965517241379</v>
      </c>
      <c r="J381">
        <v>1.5217391304347829</v>
      </c>
      <c r="K381">
        <v>1.2608695652173909</v>
      </c>
      <c r="L381">
        <v>3.833333333333333</v>
      </c>
      <c r="M381">
        <v>39701</v>
      </c>
      <c r="N381">
        <v>2</v>
      </c>
      <c r="O381">
        <v>3</v>
      </c>
      <c r="P381">
        <v>58</v>
      </c>
      <c r="Q381">
        <v>46</v>
      </c>
      <c r="R381">
        <v>12</v>
      </c>
      <c r="S381">
        <v>25</v>
      </c>
      <c r="T381">
        <v>1080</v>
      </c>
      <c r="U381">
        <v>275</v>
      </c>
      <c r="V381">
        <v>255268</v>
      </c>
      <c r="W381">
        <v>70</v>
      </c>
    </row>
    <row r="382" spans="1:23" x14ac:dyDescent="0.2">
      <c r="A382" t="s">
        <v>540</v>
      </c>
      <c r="B382" t="s">
        <v>157</v>
      </c>
      <c r="C382">
        <v>62.164476633071899</v>
      </c>
      <c r="D382">
        <v>619</v>
      </c>
      <c r="E382">
        <v>884</v>
      </c>
      <c r="F382">
        <v>10</v>
      </c>
      <c r="G382">
        <v>9</v>
      </c>
      <c r="H382">
        <v>0.67924528301886788</v>
      </c>
      <c r="I382">
        <v>1</v>
      </c>
      <c r="J382">
        <v>1.4905660377358489</v>
      </c>
      <c r="K382">
        <v>1.4905660377358489</v>
      </c>
      <c r="L382">
        <v>5.8888888888888893</v>
      </c>
      <c r="M382">
        <v>8</v>
      </c>
      <c r="N382">
        <v>1</v>
      </c>
      <c r="O382">
        <v>2</v>
      </c>
      <c r="P382">
        <v>79</v>
      </c>
      <c r="Q382">
        <v>53</v>
      </c>
      <c r="R382">
        <v>9</v>
      </c>
      <c r="S382">
        <v>10</v>
      </c>
      <c r="T382">
        <v>451</v>
      </c>
      <c r="U382">
        <v>75</v>
      </c>
      <c r="V382">
        <v>36</v>
      </c>
      <c r="W382">
        <v>79</v>
      </c>
    </row>
    <row r="383" spans="1:23" x14ac:dyDescent="0.2">
      <c r="A383" t="s">
        <v>541</v>
      </c>
      <c r="B383" t="s">
        <v>157</v>
      </c>
      <c r="C383">
        <v>1789.3929836750031</v>
      </c>
      <c r="D383">
        <v>2241</v>
      </c>
      <c r="E383">
        <v>12508</v>
      </c>
      <c r="F383">
        <v>9</v>
      </c>
      <c r="G383">
        <v>8</v>
      </c>
      <c r="H383">
        <v>11.85</v>
      </c>
      <c r="I383">
        <v>1.6049382716049381</v>
      </c>
      <c r="J383">
        <v>2.166666666666667</v>
      </c>
      <c r="K383">
        <v>1.35</v>
      </c>
      <c r="L383">
        <v>7.5</v>
      </c>
      <c r="M383">
        <v>332</v>
      </c>
      <c r="N383">
        <v>4</v>
      </c>
      <c r="O383">
        <v>3</v>
      </c>
      <c r="P383">
        <v>81</v>
      </c>
      <c r="Q383">
        <v>60</v>
      </c>
      <c r="R383">
        <v>8</v>
      </c>
      <c r="S383">
        <v>15</v>
      </c>
      <c r="T383">
        <v>770</v>
      </c>
      <c r="U383">
        <v>95</v>
      </c>
      <c r="V383">
        <v>711</v>
      </c>
      <c r="W383">
        <v>130</v>
      </c>
    </row>
    <row r="384" spans="1:23" x14ac:dyDescent="0.2">
      <c r="A384" t="s">
        <v>542</v>
      </c>
      <c r="B384" t="s">
        <v>157</v>
      </c>
      <c r="C384">
        <v>394.5844190120697</v>
      </c>
      <c r="D384">
        <v>699</v>
      </c>
      <c r="E384">
        <v>1629</v>
      </c>
      <c r="F384">
        <v>9</v>
      </c>
      <c r="G384">
        <v>8</v>
      </c>
      <c r="H384">
        <v>1.55</v>
      </c>
      <c r="I384">
        <v>1.1208791208791209</v>
      </c>
      <c r="J384">
        <v>1.7</v>
      </c>
      <c r="K384">
        <v>1.5166666666666671</v>
      </c>
      <c r="L384">
        <v>7.5</v>
      </c>
      <c r="M384">
        <v>2</v>
      </c>
      <c r="N384">
        <v>2</v>
      </c>
      <c r="O384">
        <v>2</v>
      </c>
      <c r="P384">
        <v>91</v>
      </c>
      <c r="Q384">
        <v>60</v>
      </c>
      <c r="R384">
        <v>8</v>
      </c>
      <c r="S384">
        <v>17</v>
      </c>
      <c r="T384">
        <v>918</v>
      </c>
      <c r="U384">
        <v>121</v>
      </c>
      <c r="V384">
        <v>93</v>
      </c>
      <c r="W384">
        <v>102</v>
      </c>
    </row>
    <row r="385" spans="1:23" x14ac:dyDescent="0.2">
      <c r="A385" t="s">
        <v>543</v>
      </c>
      <c r="B385" t="s">
        <v>157</v>
      </c>
      <c r="C385">
        <v>8.5779838562011719</v>
      </c>
      <c r="D385">
        <v>8284</v>
      </c>
      <c r="E385">
        <v>16620</v>
      </c>
      <c r="F385">
        <v>17</v>
      </c>
      <c r="G385">
        <v>16</v>
      </c>
      <c r="H385">
        <v>0</v>
      </c>
      <c r="I385">
        <v>1.0327868852459019</v>
      </c>
      <c r="J385">
        <v>1.96875</v>
      </c>
      <c r="K385">
        <v>1.90625</v>
      </c>
      <c r="L385">
        <v>4</v>
      </c>
      <c r="M385">
        <v>0</v>
      </c>
      <c r="N385">
        <v>2</v>
      </c>
      <c r="O385">
        <v>2</v>
      </c>
      <c r="P385">
        <v>122</v>
      </c>
      <c r="Q385">
        <v>64</v>
      </c>
      <c r="R385">
        <v>16</v>
      </c>
      <c r="S385">
        <v>21</v>
      </c>
      <c r="T385">
        <v>1218</v>
      </c>
      <c r="U385">
        <v>304</v>
      </c>
      <c r="V385">
        <v>0</v>
      </c>
      <c r="W385">
        <v>126</v>
      </c>
    </row>
    <row r="386" spans="1:23" x14ac:dyDescent="0.2">
      <c r="A386" t="s">
        <v>544</v>
      </c>
      <c r="B386" t="s">
        <v>157</v>
      </c>
      <c r="C386">
        <v>0.49774479866027832</v>
      </c>
      <c r="D386">
        <v>48</v>
      </c>
      <c r="E386">
        <v>10</v>
      </c>
      <c r="F386">
        <v>6</v>
      </c>
      <c r="G386">
        <v>5</v>
      </c>
      <c r="H386">
        <v>6.7852731370803476E+18</v>
      </c>
      <c r="I386">
        <v>1.236842105263158</v>
      </c>
      <c r="J386">
        <v>1.5666666666666671</v>
      </c>
      <c r="K386">
        <v>1.2666666666666671</v>
      </c>
      <c r="L386">
        <v>6</v>
      </c>
      <c r="M386">
        <v>2.0337025628949099E+20</v>
      </c>
      <c r="N386">
        <v>2</v>
      </c>
      <c r="O386">
        <v>2</v>
      </c>
      <c r="P386">
        <v>38</v>
      </c>
      <c r="Q386">
        <v>30</v>
      </c>
      <c r="R386">
        <v>5</v>
      </c>
      <c r="S386">
        <v>9</v>
      </c>
      <c r="T386">
        <v>223</v>
      </c>
      <c r="U386">
        <v>32</v>
      </c>
      <c r="V386">
        <v>2.0355819411241048E+20</v>
      </c>
      <c r="W386">
        <v>47</v>
      </c>
    </row>
    <row r="387" spans="1:23" x14ac:dyDescent="0.2">
      <c r="A387" t="s">
        <v>545</v>
      </c>
      <c r="B387" t="s">
        <v>157</v>
      </c>
      <c r="C387">
        <v>14.35070133209228</v>
      </c>
      <c r="D387">
        <v>417</v>
      </c>
      <c r="E387">
        <v>743</v>
      </c>
      <c r="F387">
        <v>7</v>
      </c>
      <c r="G387">
        <v>6</v>
      </c>
      <c r="H387">
        <v>6.5882352941176467</v>
      </c>
      <c r="I387">
        <v>1.3787878787878789</v>
      </c>
      <c r="J387">
        <v>1.784313725490196</v>
      </c>
      <c r="K387">
        <v>1.294117647058824</v>
      </c>
      <c r="L387">
        <v>8.5</v>
      </c>
      <c r="M387">
        <v>50</v>
      </c>
      <c r="N387">
        <v>2</v>
      </c>
      <c r="O387">
        <v>2</v>
      </c>
      <c r="P387">
        <v>66</v>
      </c>
      <c r="Q387">
        <v>51</v>
      </c>
      <c r="R387">
        <v>6</v>
      </c>
      <c r="S387">
        <v>13</v>
      </c>
      <c r="T387">
        <v>572</v>
      </c>
      <c r="U387">
        <v>66</v>
      </c>
      <c r="V387">
        <v>336</v>
      </c>
      <c r="W387">
        <v>91</v>
      </c>
    </row>
    <row r="388" spans="1:23" x14ac:dyDescent="0.2">
      <c r="A388" t="s">
        <v>546</v>
      </c>
      <c r="B388" t="s">
        <v>157</v>
      </c>
      <c r="C388">
        <v>9.453108549118042</v>
      </c>
      <c r="D388">
        <v>674</v>
      </c>
      <c r="E388">
        <v>1257</v>
      </c>
      <c r="F388">
        <v>9</v>
      </c>
      <c r="G388">
        <v>8</v>
      </c>
      <c r="H388">
        <v>0.65116279069767447</v>
      </c>
      <c r="I388">
        <v>1</v>
      </c>
      <c r="J388">
        <v>1.441860465116279</v>
      </c>
      <c r="K388">
        <v>1.441860465116279</v>
      </c>
      <c r="L388">
        <v>5.375</v>
      </c>
      <c r="M388">
        <v>7</v>
      </c>
      <c r="N388">
        <v>1</v>
      </c>
      <c r="O388">
        <v>2</v>
      </c>
      <c r="P388">
        <v>62</v>
      </c>
      <c r="Q388">
        <v>43</v>
      </c>
      <c r="R388">
        <v>8</v>
      </c>
      <c r="S388">
        <v>9</v>
      </c>
      <c r="T388">
        <v>325</v>
      </c>
      <c r="U388">
        <v>58</v>
      </c>
      <c r="V388">
        <v>28</v>
      </c>
      <c r="W388">
        <v>62</v>
      </c>
    </row>
    <row r="389" spans="1:23" x14ac:dyDescent="0.2">
      <c r="A389" t="s">
        <v>547</v>
      </c>
      <c r="B389" t="s">
        <v>157</v>
      </c>
      <c r="C389">
        <v>419.58260822296143</v>
      </c>
      <c r="D389">
        <v>6847</v>
      </c>
      <c r="E389">
        <v>21641</v>
      </c>
      <c r="F389">
        <v>10</v>
      </c>
      <c r="G389">
        <v>9</v>
      </c>
      <c r="H389">
        <v>156692.38095238089</v>
      </c>
      <c r="I389">
        <v>1.486842105263158</v>
      </c>
      <c r="J389">
        <v>2.6904761904761911</v>
      </c>
      <c r="K389">
        <v>1.80952380952381</v>
      </c>
      <c r="L389">
        <v>4.666666666666667</v>
      </c>
      <c r="M389">
        <v>1000000</v>
      </c>
      <c r="N389">
        <v>2</v>
      </c>
      <c r="O389">
        <v>5</v>
      </c>
      <c r="P389">
        <v>76</v>
      </c>
      <c r="Q389">
        <v>42</v>
      </c>
      <c r="R389">
        <v>9</v>
      </c>
      <c r="S389">
        <v>19</v>
      </c>
      <c r="T389">
        <v>685</v>
      </c>
      <c r="U389">
        <v>142</v>
      </c>
      <c r="V389">
        <v>6581080</v>
      </c>
      <c r="W389">
        <v>113</v>
      </c>
    </row>
    <row r="390" spans="1:23" x14ac:dyDescent="0.2">
      <c r="A390" t="s">
        <v>548</v>
      </c>
      <c r="B390" t="s">
        <v>157</v>
      </c>
      <c r="C390">
        <v>6.3749699592590332</v>
      </c>
      <c r="D390">
        <v>288</v>
      </c>
      <c r="E390">
        <v>292</v>
      </c>
      <c r="F390">
        <v>8</v>
      </c>
      <c r="G390">
        <v>7</v>
      </c>
      <c r="H390">
        <v>0.6470588235294118</v>
      </c>
      <c r="I390">
        <v>1</v>
      </c>
      <c r="J390">
        <v>1.8235294117647061</v>
      </c>
      <c r="K390">
        <v>1.8235294117647061</v>
      </c>
      <c r="L390">
        <v>4.8571428571428568</v>
      </c>
      <c r="M390">
        <v>6</v>
      </c>
      <c r="N390">
        <v>1</v>
      </c>
      <c r="O390">
        <v>3</v>
      </c>
      <c r="P390">
        <v>62</v>
      </c>
      <c r="Q390">
        <v>34</v>
      </c>
      <c r="R390">
        <v>7</v>
      </c>
      <c r="S390">
        <v>8</v>
      </c>
      <c r="T390">
        <v>210</v>
      </c>
      <c r="U390">
        <v>38</v>
      </c>
      <c r="V390">
        <v>22</v>
      </c>
      <c r="W390">
        <v>62</v>
      </c>
    </row>
    <row r="391" spans="1:23" x14ac:dyDescent="0.2">
      <c r="A391" t="s">
        <v>549</v>
      </c>
      <c r="B391" t="s">
        <v>157</v>
      </c>
      <c r="C391">
        <v>368.07968664169312</v>
      </c>
      <c r="D391">
        <v>699</v>
      </c>
      <c r="E391">
        <v>1631</v>
      </c>
      <c r="F391">
        <v>9</v>
      </c>
      <c r="G391">
        <v>8</v>
      </c>
      <c r="H391">
        <v>1.55</v>
      </c>
      <c r="I391">
        <v>1.1208791208791209</v>
      </c>
      <c r="J391">
        <v>1.7</v>
      </c>
      <c r="K391">
        <v>1.5166666666666671</v>
      </c>
      <c r="L391">
        <v>7.5</v>
      </c>
      <c r="M391">
        <v>2</v>
      </c>
      <c r="N391">
        <v>2</v>
      </c>
      <c r="O391">
        <v>2</v>
      </c>
      <c r="P391">
        <v>91</v>
      </c>
      <c r="Q391">
        <v>60</v>
      </c>
      <c r="R391">
        <v>8</v>
      </c>
      <c r="S391">
        <v>17</v>
      </c>
      <c r="T391">
        <v>918</v>
      </c>
      <c r="U391">
        <v>121</v>
      </c>
      <c r="V391">
        <v>93</v>
      </c>
      <c r="W391">
        <v>102</v>
      </c>
    </row>
    <row r="392" spans="1:23" x14ac:dyDescent="0.2">
      <c r="A392" t="s">
        <v>550</v>
      </c>
      <c r="B392" t="s">
        <v>157</v>
      </c>
      <c r="C392">
        <v>520.68550586700439</v>
      </c>
      <c r="D392">
        <v>1081</v>
      </c>
      <c r="E392">
        <v>21586</v>
      </c>
      <c r="F392">
        <v>7</v>
      </c>
      <c r="G392">
        <v>6</v>
      </c>
      <c r="H392">
        <v>3.125E-2</v>
      </c>
      <c r="I392">
        <v>1</v>
      </c>
      <c r="J392">
        <v>2.65625</v>
      </c>
      <c r="K392">
        <v>2.65625</v>
      </c>
      <c r="L392">
        <v>5.333333333333333</v>
      </c>
      <c r="M392">
        <v>1</v>
      </c>
      <c r="N392">
        <v>1</v>
      </c>
      <c r="O392">
        <v>5</v>
      </c>
      <c r="P392">
        <v>85</v>
      </c>
      <c r="Q392">
        <v>32</v>
      </c>
      <c r="R392">
        <v>6</v>
      </c>
      <c r="S392">
        <v>7</v>
      </c>
      <c r="T392">
        <v>139</v>
      </c>
      <c r="U392">
        <v>22</v>
      </c>
      <c r="V392">
        <v>1</v>
      </c>
      <c r="W392">
        <v>85</v>
      </c>
    </row>
    <row r="393" spans="1:23" x14ac:dyDescent="0.2">
      <c r="A393" t="s">
        <v>551</v>
      </c>
      <c r="B393" t="s">
        <v>157</v>
      </c>
      <c r="C393">
        <v>18.682020902633671</v>
      </c>
      <c r="D393">
        <v>566</v>
      </c>
      <c r="E393">
        <v>429</v>
      </c>
      <c r="F393">
        <v>11</v>
      </c>
      <c r="G393">
        <v>10</v>
      </c>
      <c r="H393">
        <v>151.92500000000001</v>
      </c>
      <c r="I393">
        <v>1</v>
      </c>
      <c r="J393">
        <v>1.5249999999999999</v>
      </c>
      <c r="K393">
        <v>1.5249999999999999</v>
      </c>
      <c r="L393">
        <v>4</v>
      </c>
      <c r="M393">
        <v>855</v>
      </c>
      <c r="N393">
        <v>1</v>
      </c>
      <c r="O393">
        <v>2</v>
      </c>
      <c r="P393">
        <v>61</v>
      </c>
      <c r="Q393">
        <v>40</v>
      </c>
      <c r="R393">
        <v>10</v>
      </c>
      <c r="S393">
        <v>11</v>
      </c>
      <c r="T393">
        <v>379</v>
      </c>
      <c r="U393">
        <v>92</v>
      </c>
      <c r="V393">
        <v>6077</v>
      </c>
      <c r="W393">
        <v>61</v>
      </c>
    </row>
    <row r="394" spans="1:23" x14ac:dyDescent="0.2">
      <c r="A394" t="s">
        <v>552</v>
      </c>
      <c r="B394" t="s">
        <v>157</v>
      </c>
      <c r="C394">
        <v>6.715388298034668</v>
      </c>
      <c r="D394">
        <v>659</v>
      </c>
      <c r="E394">
        <v>1282</v>
      </c>
      <c r="F394">
        <v>9</v>
      </c>
      <c r="G394">
        <v>8</v>
      </c>
      <c r="H394">
        <v>0.65116279069767447</v>
      </c>
      <c r="I394">
        <v>1</v>
      </c>
      <c r="J394">
        <v>1.441860465116279</v>
      </c>
      <c r="K394">
        <v>1.441860465116279</v>
      </c>
      <c r="L394">
        <v>5.375</v>
      </c>
      <c r="M394">
        <v>7</v>
      </c>
      <c r="N394">
        <v>1</v>
      </c>
      <c r="O394">
        <v>2</v>
      </c>
      <c r="P394">
        <v>62</v>
      </c>
      <c r="Q394">
        <v>43</v>
      </c>
      <c r="R394">
        <v>8</v>
      </c>
      <c r="S394">
        <v>9</v>
      </c>
      <c r="T394">
        <v>325</v>
      </c>
      <c r="U394">
        <v>58</v>
      </c>
      <c r="V394">
        <v>28</v>
      </c>
      <c r="W394">
        <v>62</v>
      </c>
    </row>
    <row r="395" spans="1:23" x14ac:dyDescent="0.2">
      <c r="A395" t="s">
        <v>553</v>
      </c>
      <c r="B395" t="s">
        <v>157</v>
      </c>
      <c r="C395">
        <v>650.47448706626892</v>
      </c>
      <c r="D395">
        <v>1335</v>
      </c>
      <c r="E395">
        <v>22059</v>
      </c>
      <c r="F395">
        <v>7</v>
      </c>
      <c r="G395">
        <v>6</v>
      </c>
      <c r="H395">
        <v>7.1428571428571425E-2</v>
      </c>
      <c r="I395">
        <v>1.188679245283019</v>
      </c>
      <c r="J395">
        <v>2.25</v>
      </c>
      <c r="K395">
        <v>1.892857142857143</v>
      </c>
      <c r="L395">
        <v>4.666666666666667</v>
      </c>
      <c r="M395">
        <v>1</v>
      </c>
      <c r="N395">
        <v>5</v>
      </c>
      <c r="O395">
        <v>4</v>
      </c>
      <c r="P395">
        <v>53</v>
      </c>
      <c r="Q395">
        <v>28</v>
      </c>
      <c r="R395">
        <v>6</v>
      </c>
      <c r="S395">
        <v>11</v>
      </c>
      <c r="T395">
        <v>245</v>
      </c>
      <c r="U395">
        <v>47</v>
      </c>
      <c r="V395">
        <v>2</v>
      </c>
      <c r="W395">
        <v>63</v>
      </c>
    </row>
    <row r="396" spans="1:23" x14ac:dyDescent="0.2">
      <c r="A396" t="s">
        <v>554</v>
      </c>
      <c r="B396" t="s">
        <v>157</v>
      </c>
      <c r="C396">
        <v>9.3021903038024902</v>
      </c>
      <c r="D396">
        <v>203</v>
      </c>
      <c r="E396">
        <v>2160</v>
      </c>
      <c r="F396">
        <v>8</v>
      </c>
      <c r="G396">
        <v>6</v>
      </c>
      <c r="H396">
        <v>0</v>
      </c>
      <c r="I396">
        <v>1.058139534883721</v>
      </c>
      <c r="J396">
        <v>2.84375</v>
      </c>
      <c r="K396">
        <v>2.6875</v>
      </c>
      <c r="L396">
        <v>5.333333333333333</v>
      </c>
      <c r="M396">
        <v>0</v>
      </c>
      <c r="N396">
        <v>6</v>
      </c>
      <c r="O396">
        <v>5</v>
      </c>
      <c r="P396">
        <v>86</v>
      </c>
      <c r="Q396">
        <v>32</v>
      </c>
      <c r="R396">
        <v>6</v>
      </c>
      <c r="S396">
        <v>13</v>
      </c>
      <c r="T396">
        <v>325</v>
      </c>
      <c r="U396">
        <v>57</v>
      </c>
      <c r="V396">
        <v>0</v>
      </c>
      <c r="W396">
        <v>91</v>
      </c>
    </row>
    <row r="397" spans="1:23" x14ac:dyDescent="0.2">
      <c r="A397" t="s">
        <v>555</v>
      </c>
      <c r="B397" t="s">
        <v>158</v>
      </c>
      <c r="C397" t="s">
        <v>159</v>
      </c>
      <c r="D397" t="s">
        <v>159</v>
      </c>
      <c r="E397" t="s">
        <v>159</v>
      </c>
      <c r="F397" t="s">
        <v>159</v>
      </c>
      <c r="G397" t="s">
        <v>159</v>
      </c>
      <c r="H397" t="s">
        <v>159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159</v>
      </c>
      <c r="O397" t="s">
        <v>159</v>
      </c>
      <c r="P397" t="s">
        <v>159</v>
      </c>
      <c r="Q397" t="s">
        <v>159</v>
      </c>
      <c r="R397" t="s">
        <v>159</v>
      </c>
      <c r="S397" t="s">
        <v>159</v>
      </c>
      <c r="T397" t="s">
        <v>159</v>
      </c>
      <c r="U397" t="s">
        <v>159</v>
      </c>
      <c r="V397" t="s">
        <v>159</v>
      </c>
      <c r="W397" t="s">
        <v>159</v>
      </c>
    </row>
    <row r="398" spans="1:23" x14ac:dyDescent="0.2">
      <c r="A398" t="s">
        <v>556</v>
      </c>
      <c r="B398" t="s">
        <v>157</v>
      </c>
      <c r="C398">
        <v>298.64350628852839</v>
      </c>
      <c r="D398">
        <v>1094</v>
      </c>
      <c r="E398">
        <v>25900</v>
      </c>
      <c r="F398">
        <v>7</v>
      </c>
      <c r="G398">
        <v>6</v>
      </c>
      <c r="H398">
        <v>3.125E-2</v>
      </c>
      <c r="I398">
        <v>1</v>
      </c>
      <c r="J398">
        <v>2.65625</v>
      </c>
      <c r="K398">
        <v>2.65625</v>
      </c>
      <c r="L398">
        <v>5.333333333333333</v>
      </c>
      <c r="M398">
        <v>1</v>
      </c>
      <c r="N398">
        <v>1</v>
      </c>
      <c r="O398">
        <v>5</v>
      </c>
      <c r="P398">
        <v>85</v>
      </c>
      <c r="Q398">
        <v>32</v>
      </c>
      <c r="R398">
        <v>6</v>
      </c>
      <c r="S398">
        <v>7</v>
      </c>
      <c r="T398">
        <v>139</v>
      </c>
      <c r="U398">
        <v>22</v>
      </c>
      <c r="V398">
        <v>1</v>
      </c>
      <c r="W398">
        <v>85</v>
      </c>
    </row>
    <row r="399" spans="1:23" x14ac:dyDescent="0.2">
      <c r="A399" t="s">
        <v>557</v>
      </c>
      <c r="B399" t="s">
        <v>157</v>
      </c>
      <c r="C399">
        <v>46.188820362091057</v>
      </c>
      <c r="D399">
        <v>617</v>
      </c>
      <c r="E399">
        <v>557</v>
      </c>
      <c r="F399">
        <v>11</v>
      </c>
      <c r="G399">
        <v>10</v>
      </c>
      <c r="H399">
        <v>67.474999999999994</v>
      </c>
      <c r="I399">
        <v>1</v>
      </c>
      <c r="J399">
        <v>1.5249999999999999</v>
      </c>
      <c r="K399">
        <v>1.5249999999999999</v>
      </c>
      <c r="L399">
        <v>4</v>
      </c>
      <c r="M399">
        <v>595</v>
      </c>
      <c r="N399">
        <v>1</v>
      </c>
      <c r="O399">
        <v>2</v>
      </c>
      <c r="P399">
        <v>61</v>
      </c>
      <c r="Q399">
        <v>40</v>
      </c>
      <c r="R399">
        <v>10</v>
      </c>
      <c r="S399">
        <v>11</v>
      </c>
      <c r="T399">
        <v>379</v>
      </c>
      <c r="U399">
        <v>92</v>
      </c>
      <c r="V399">
        <v>2699</v>
      </c>
      <c r="W399">
        <v>61</v>
      </c>
    </row>
    <row r="400" spans="1:23" x14ac:dyDescent="0.2">
      <c r="A400" t="s">
        <v>558</v>
      </c>
      <c r="B400" t="s">
        <v>157</v>
      </c>
      <c r="C400">
        <v>30.893942356109619</v>
      </c>
      <c r="D400">
        <v>270</v>
      </c>
      <c r="E400">
        <v>401</v>
      </c>
      <c r="F400">
        <v>8</v>
      </c>
      <c r="G400">
        <v>7</v>
      </c>
      <c r="H400">
        <v>1.5106382978723401</v>
      </c>
      <c r="I400">
        <v>1.130434782608696</v>
      </c>
      <c r="J400">
        <v>1.6595744680851059</v>
      </c>
      <c r="K400">
        <v>1.468085106382979</v>
      </c>
      <c r="L400">
        <v>6.7142857142857144</v>
      </c>
      <c r="M400">
        <v>2</v>
      </c>
      <c r="N400">
        <v>2</v>
      </c>
      <c r="O400">
        <v>2</v>
      </c>
      <c r="P400">
        <v>69</v>
      </c>
      <c r="Q400">
        <v>47</v>
      </c>
      <c r="R400">
        <v>7</v>
      </c>
      <c r="S400">
        <v>15</v>
      </c>
      <c r="T400">
        <v>627</v>
      </c>
      <c r="U400">
        <v>92</v>
      </c>
      <c r="V400">
        <v>71</v>
      </c>
      <c r="W400">
        <v>78</v>
      </c>
    </row>
    <row r="401" spans="1:23" x14ac:dyDescent="0.2">
      <c r="A401" t="s">
        <v>559</v>
      </c>
      <c r="B401" t="s">
        <v>157</v>
      </c>
      <c r="C401">
        <v>9.2140355110168457</v>
      </c>
      <c r="D401">
        <v>267</v>
      </c>
      <c r="E401">
        <v>357</v>
      </c>
      <c r="F401">
        <v>9</v>
      </c>
      <c r="G401">
        <v>8</v>
      </c>
      <c r="H401">
        <v>129.33333333333329</v>
      </c>
      <c r="I401">
        <v>1.0543478260869561</v>
      </c>
      <c r="J401">
        <v>1.9019607843137261</v>
      </c>
      <c r="K401">
        <v>1.803921568627451</v>
      </c>
      <c r="L401">
        <v>6.375</v>
      </c>
      <c r="M401">
        <v>1056</v>
      </c>
      <c r="N401">
        <v>2</v>
      </c>
      <c r="O401">
        <v>3</v>
      </c>
      <c r="P401">
        <v>92</v>
      </c>
      <c r="Q401">
        <v>51</v>
      </c>
      <c r="R401">
        <v>8</v>
      </c>
      <c r="S401">
        <v>10</v>
      </c>
      <c r="T401">
        <v>413</v>
      </c>
      <c r="U401">
        <v>62</v>
      </c>
      <c r="V401">
        <v>6596</v>
      </c>
      <c r="W401">
        <v>97</v>
      </c>
    </row>
    <row r="402" spans="1:23" x14ac:dyDescent="0.2">
      <c r="A402" t="s">
        <v>560</v>
      </c>
      <c r="B402" t="s">
        <v>157</v>
      </c>
      <c r="C402">
        <v>2904.461878061295</v>
      </c>
      <c r="D402">
        <v>2207</v>
      </c>
      <c r="E402">
        <v>3801</v>
      </c>
      <c r="F402">
        <v>10</v>
      </c>
      <c r="G402">
        <v>9</v>
      </c>
      <c r="H402">
        <v>57854145192165.117</v>
      </c>
      <c r="I402">
        <v>1.029126213592233</v>
      </c>
      <c r="J402">
        <v>2.058252427184466</v>
      </c>
      <c r="K402">
        <v>2</v>
      </c>
      <c r="L402">
        <v>11.444444444444439</v>
      </c>
      <c r="M402">
        <v>1212982689600000</v>
      </c>
      <c r="N402">
        <v>2</v>
      </c>
      <c r="O402">
        <v>4</v>
      </c>
      <c r="P402">
        <v>206</v>
      </c>
      <c r="Q402">
        <v>103</v>
      </c>
      <c r="R402">
        <v>9</v>
      </c>
      <c r="S402">
        <v>19</v>
      </c>
      <c r="T402">
        <v>1745</v>
      </c>
      <c r="U402">
        <v>144</v>
      </c>
      <c r="V402">
        <v>5958976954793007</v>
      </c>
      <c r="W402">
        <v>212</v>
      </c>
    </row>
    <row r="403" spans="1:23" x14ac:dyDescent="0.2">
      <c r="A403" t="s">
        <v>561</v>
      </c>
      <c r="B403" t="s">
        <v>158</v>
      </c>
      <c r="C403" t="s">
        <v>159</v>
      </c>
      <c r="D403" t="s">
        <v>159</v>
      </c>
      <c r="E403" t="s">
        <v>159</v>
      </c>
      <c r="F403" t="s">
        <v>159</v>
      </c>
      <c r="G403" t="s">
        <v>159</v>
      </c>
      <c r="H403" t="s">
        <v>159</v>
      </c>
      <c r="I403" t="s">
        <v>159</v>
      </c>
      <c r="J403" t="s">
        <v>159</v>
      </c>
      <c r="K403" t="s">
        <v>159</v>
      </c>
      <c r="L403" t="s">
        <v>159</v>
      </c>
      <c r="M403" t="s">
        <v>159</v>
      </c>
      <c r="N403" t="s">
        <v>159</v>
      </c>
      <c r="O403" t="s">
        <v>159</v>
      </c>
      <c r="P403" t="s">
        <v>159</v>
      </c>
      <c r="Q403" t="s">
        <v>159</v>
      </c>
      <c r="R403" t="s">
        <v>159</v>
      </c>
      <c r="S403" t="s">
        <v>159</v>
      </c>
      <c r="T403" t="s">
        <v>159</v>
      </c>
      <c r="U403" t="s">
        <v>159</v>
      </c>
      <c r="V403" t="s">
        <v>159</v>
      </c>
      <c r="W403" t="s">
        <v>159</v>
      </c>
    </row>
    <row r="404" spans="1:23" x14ac:dyDescent="0.2">
      <c r="A404" t="s">
        <v>562</v>
      </c>
      <c r="B404" t="s">
        <v>157</v>
      </c>
      <c r="C404">
        <v>12.30269622802734</v>
      </c>
      <c r="D404">
        <v>12790</v>
      </c>
      <c r="E404">
        <v>26242</v>
      </c>
      <c r="F404">
        <v>17</v>
      </c>
      <c r="G404">
        <v>16</v>
      </c>
      <c r="H404">
        <v>0</v>
      </c>
      <c r="I404">
        <v>1.032520325203252</v>
      </c>
      <c r="J404">
        <v>1.984375</v>
      </c>
      <c r="K404">
        <v>1.921875</v>
      </c>
      <c r="L404">
        <v>4</v>
      </c>
      <c r="M404">
        <v>0</v>
      </c>
      <c r="N404">
        <v>2</v>
      </c>
      <c r="O404">
        <v>2</v>
      </c>
      <c r="P404">
        <v>123</v>
      </c>
      <c r="Q404">
        <v>64</v>
      </c>
      <c r="R404">
        <v>16</v>
      </c>
      <c r="S404">
        <v>21</v>
      </c>
      <c r="T404">
        <v>1217</v>
      </c>
      <c r="U404">
        <v>304</v>
      </c>
      <c r="V404">
        <v>0</v>
      </c>
      <c r="W404">
        <v>127</v>
      </c>
    </row>
    <row r="405" spans="1:23" x14ac:dyDescent="0.2">
      <c r="A405" t="s">
        <v>563</v>
      </c>
      <c r="B405" t="s">
        <v>157</v>
      </c>
      <c r="C405">
        <v>8.9859106540679932</v>
      </c>
      <c r="D405">
        <v>9271</v>
      </c>
      <c r="E405">
        <v>14523</v>
      </c>
      <c r="F405">
        <v>17</v>
      </c>
      <c r="G405">
        <v>16</v>
      </c>
      <c r="H405">
        <v>0</v>
      </c>
      <c r="I405">
        <v>1.032520325203252</v>
      </c>
      <c r="J405">
        <v>1.984375</v>
      </c>
      <c r="K405">
        <v>1.921875</v>
      </c>
      <c r="L405">
        <v>4</v>
      </c>
      <c r="M405">
        <v>0</v>
      </c>
      <c r="N405">
        <v>2</v>
      </c>
      <c r="O405">
        <v>2</v>
      </c>
      <c r="P405">
        <v>123</v>
      </c>
      <c r="Q405">
        <v>64</v>
      </c>
      <c r="R405">
        <v>16</v>
      </c>
      <c r="S405">
        <v>21</v>
      </c>
      <c r="T405">
        <v>1217</v>
      </c>
      <c r="U405">
        <v>304</v>
      </c>
      <c r="V405">
        <v>0</v>
      </c>
      <c r="W405">
        <v>127</v>
      </c>
    </row>
    <row r="406" spans="1:23" x14ac:dyDescent="0.2">
      <c r="A406" t="s">
        <v>564</v>
      </c>
      <c r="B406" t="s">
        <v>158</v>
      </c>
      <c r="C406" t="s">
        <v>159</v>
      </c>
      <c r="D406" t="s">
        <v>159</v>
      </c>
      <c r="E406" t="s">
        <v>159</v>
      </c>
      <c r="F406" t="s">
        <v>159</v>
      </c>
      <c r="G406" t="s">
        <v>159</v>
      </c>
      <c r="H406" t="s">
        <v>159</v>
      </c>
      <c r="I406" t="s">
        <v>159</v>
      </c>
      <c r="J406" t="s">
        <v>159</v>
      </c>
      <c r="K406" t="s">
        <v>159</v>
      </c>
      <c r="L406" t="s">
        <v>159</v>
      </c>
      <c r="M406" t="s">
        <v>159</v>
      </c>
      <c r="N406" t="s">
        <v>159</v>
      </c>
      <c r="O406" t="s">
        <v>159</v>
      </c>
      <c r="P406" t="s">
        <v>159</v>
      </c>
      <c r="Q406" t="s">
        <v>159</v>
      </c>
      <c r="R406" t="s">
        <v>159</v>
      </c>
      <c r="S406" t="s">
        <v>159</v>
      </c>
      <c r="T406" t="s">
        <v>159</v>
      </c>
      <c r="U406" t="s">
        <v>159</v>
      </c>
      <c r="V406" t="s">
        <v>159</v>
      </c>
      <c r="W406" t="s">
        <v>159</v>
      </c>
    </row>
    <row r="407" spans="1:23" x14ac:dyDescent="0.2">
      <c r="A407" t="s">
        <v>565</v>
      </c>
      <c r="B407" t="s">
        <v>158</v>
      </c>
      <c r="C407" t="s">
        <v>159</v>
      </c>
      <c r="D407" t="s">
        <v>159</v>
      </c>
      <c r="E407" t="s">
        <v>159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  <c r="K407" t="s">
        <v>159</v>
      </c>
      <c r="L407" t="s">
        <v>159</v>
      </c>
      <c r="M407" t="s">
        <v>159</v>
      </c>
      <c r="N407" t="s">
        <v>159</v>
      </c>
      <c r="O407" t="s">
        <v>159</v>
      </c>
      <c r="P407" t="s">
        <v>159</v>
      </c>
      <c r="Q407" t="s">
        <v>159</v>
      </c>
      <c r="R407" t="s">
        <v>159</v>
      </c>
      <c r="S407" t="s">
        <v>159</v>
      </c>
      <c r="T407" t="s">
        <v>159</v>
      </c>
      <c r="U407" t="s">
        <v>159</v>
      </c>
      <c r="V407" t="s">
        <v>159</v>
      </c>
      <c r="W407" t="s">
        <v>159</v>
      </c>
    </row>
    <row r="408" spans="1:23" x14ac:dyDescent="0.2">
      <c r="A408" t="s">
        <v>566</v>
      </c>
      <c r="B408" t="s">
        <v>157</v>
      </c>
      <c r="C408">
        <v>57.775404214859009</v>
      </c>
      <c r="D408">
        <v>632</v>
      </c>
      <c r="E408">
        <v>458</v>
      </c>
      <c r="F408">
        <v>11</v>
      </c>
      <c r="G408">
        <v>10</v>
      </c>
      <c r="H408">
        <v>151.05000000000001</v>
      </c>
      <c r="I408">
        <v>1</v>
      </c>
      <c r="J408">
        <v>1.5249999999999999</v>
      </c>
      <c r="K408">
        <v>1.5249999999999999</v>
      </c>
      <c r="L408">
        <v>4</v>
      </c>
      <c r="M408">
        <v>855</v>
      </c>
      <c r="N408">
        <v>1</v>
      </c>
      <c r="O408">
        <v>2</v>
      </c>
      <c r="P408">
        <v>61</v>
      </c>
      <c r="Q408">
        <v>40</v>
      </c>
      <c r="R408">
        <v>10</v>
      </c>
      <c r="S408">
        <v>11</v>
      </c>
      <c r="T408">
        <v>379</v>
      </c>
      <c r="U408">
        <v>92</v>
      </c>
      <c r="V408">
        <v>6042</v>
      </c>
      <c r="W408">
        <v>61</v>
      </c>
    </row>
    <row r="409" spans="1:23" x14ac:dyDescent="0.2">
      <c r="A409" t="s">
        <v>567</v>
      </c>
      <c r="B409" t="s">
        <v>158</v>
      </c>
      <c r="C409" t="s">
        <v>159</v>
      </c>
      <c r="D409" t="s">
        <v>159</v>
      </c>
      <c r="E409" t="s">
        <v>159</v>
      </c>
      <c r="F409" t="s">
        <v>159</v>
      </c>
      <c r="G409" t="s">
        <v>159</v>
      </c>
      <c r="H409" t="s">
        <v>159</v>
      </c>
      <c r="I409" t="s">
        <v>159</v>
      </c>
      <c r="J409" t="s">
        <v>159</v>
      </c>
      <c r="K409" t="s">
        <v>159</v>
      </c>
      <c r="L409" t="s">
        <v>159</v>
      </c>
      <c r="M409" t="s">
        <v>159</v>
      </c>
      <c r="N409" t="s">
        <v>159</v>
      </c>
      <c r="O409" t="s">
        <v>159</v>
      </c>
      <c r="P409" t="s">
        <v>159</v>
      </c>
      <c r="Q409" t="s">
        <v>159</v>
      </c>
      <c r="R409" t="s">
        <v>159</v>
      </c>
      <c r="S409" t="s">
        <v>159</v>
      </c>
      <c r="T409" t="s">
        <v>159</v>
      </c>
      <c r="U409" t="s">
        <v>159</v>
      </c>
      <c r="V409" t="s">
        <v>159</v>
      </c>
      <c r="W409" t="s">
        <v>159</v>
      </c>
    </row>
    <row r="410" spans="1:23" x14ac:dyDescent="0.2">
      <c r="A410" t="s">
        <v>568</v>
      </c>
      <c r="B410" t="s">
        <v>157</v>
      </c>
      <c r="C410">
        <v>12.504724264144899</v>
      </c>
      <c r="D410">
        <v>13131</v>
      </c>
      <c r="E410">
        <v>26648</v>
      </c>
      <c r="F410">
        <v>17</v>
      </c>
      <c r="G410">
        <v>16</v>
      </c>
      <c r="H410">
        <v>0</v>
      </c>
      <c r="I410">
        <v>1.032520325203252</v>
      </c>
      <c r="J410">
        <v>1.984375</v>
      </c>
      <c r="K410">
        <v>1.921875</v>
      </c>
      <c r="L410">
        <v>4</v>
      </c>
      <c r="M410">
        <v>0</v>
      </c>
      <c r="N410">
        <v>2</v>
      </c>
      <c r="O410">
        <v>2</v>
      </c>
      <c r="P410">
        <v>123</v>
      </c>
      <c r="Q410">
        <v>64</v>
      </c>
      <c r="R410">
        <v>16</v>
      </c>
      <c r="S410">
        <v>21</v>
      </c>
      <c r="T410">
        <v>1217</v>
      </c>
      <c r="U410">
        <v>304</v>
      </c>
      <c r="V410">
        <v>0</v>
      </c>
      <c r="W410">
        <v>127</v>
      </c>
    </row>
    <row r="411" spans="1:23" x14ac:dyDescent="0.2">
      <c r="A411" t="s">
        <v>569</v>
      </c>
      <c r="B411" t="s">
        <v>157</v>
      </c>
      <c r="C411">
        <v>1255.1191515922551</v>
      </c>
      <c r="D411">
        <v>2529</v>
      </c>
      <c r="E411">
        <v>4145</v>
      </c>
      <c r="F411">
        <v>10</v>
      </c>
      <c r="G411">
        <v>9</v>
      </c>
      <c r="H411">
        <v>0.69811320754716977</v>
      </c>
      <c r="I411">
        <v>1</v>
      </c>
      <c r="J411">
        <v>2.0188679245283021</v>
      </c>
      <c r="K411">
        <v>2.0188679245283021</v>
      </c>
      <c r="L411">
        <v>5.8888888888888893</v>
      </c>
      <c r="M411">
        <v>8</v>
      </c>
      <c r="N411">
        <v>1</v>
      </c>
      <c r="O411">
        <v>3</v>
      </c>
      <c r="P411">
        <v>107</v>
      </c>
      <c r="Q411">
        <v>53</v>
      </c>
      <c r="R411">
        <v>9</v>
      </c>
      <c r="S411">
        <v>10</v>
      </c>
      <c r="T411">
        <v>423</v>
      </c>
      <c r="U411">
        <v>66</v>
      </c>
      <c r="V411">
        <v>37</v>
      </c>
      <c r="W411">
        <v>107</v>
      </c>
    </row>
    <row r="412" spans="1:23" x14ac:dyDescent="0.2">
      <c r="A412" t="s">
        <v>570</v>
      </c>
      <c r="B412" t="s">
        <v>157</v>
      </c>
      <c r="C412">
        <v>18.959120988845829</v>
      </c>
      <c r="D412">
        <v>1695</v>
      </c>
      <c r="E412">
        <v>1628</v>
      </c>
      <c r="F412">
        <v>13</v>
      </c>
      <c r="G412">
        <v>12</v>
      </c>
      <c r="H412">
        <v>5375.391304347826</v>
      </c>
      <c r="I412">
        <v>1.2068965517241379</v>
      </c>
      <c r="J412">
        <v>1.5217391304347829</v>
      </c>
      <c r="K412">
        <v>1.2608695652173909</v>
      </c>
      <c r="L412">
        <v>3.833333333333333</v>
      </c>
      <c r="M412">
        <v>39701</v>
      </c>
      <c r="N412">
        <v>2</v>
      </c>
      <c r="O412">
        <v>3</v>
      </c>
      <c r="P412">
        <v>58</v>
      </c>
      <c r="Q412">
        <v>46</v>
      </c>
      <c r="R412">
        <v>12</v>
      </c>
      <c r="S412">
        <v>25</v>
      </c>
      <c r="T412">
        <v>1080</v>
      </c>
      <c r="U412">
        <v>275</v>
      </c>
      <c r="V412">
        <v>247268</v>
      </c>
      <c r="W412">
        <v>70</v>
      </c>
    </row>
    <row r="413" spans="1:23" x14ac:dyDescent="0.2">
      <c r="A413" t="s">
        <v>571</v>
      </c>
      <c r="B413" t="s">
        <v>157</v>
      </c>
      <c r="C413">
        <v>4616.6284606456757</v>
      </c>
      <c r="D413">
        <v>3343</v>
      </c>
      <c r="E413">
        <v>6774</v>
      </c>
      <c r="F413">
        <v>10</v>
      </c>
      <c r="G413">
        <v>9</v>
      </c>
      <c r="H413">
        <v>57275181875660.273</v>
      </c>
      <c r="I413">
        <v>1.029126213592233</v>
      </c>
      <c r="J413">
        <v>2.058252427184466</v>
      </c>
      <c r="K413">
        <v>2</v>
      </c>
      <c r="L413">
        <v>11.444444444444439</v>
      </c>
      <c r="M413">
        <v>1212982689600000</v>
      </c>
      <c r="N413">
        <v>2</v>
      </c>
      <c r="O413">
        <v>4</v>
      </c>
      <c r="P413">
        <v>206</v>
      </c>
      <c r="Q413">
        <v>103</v>
      </c>
      <c r="R413">
        <v>9</v>
      </c>
      <c r="S413">
        <v>19</v>
      </c>
      <c r="T413">
        <v>1745</v>
      </c>
      <c r="U413">
        <v>144</v>
      </c>
      <c r="V413">
        <v>5899343733193007</v>
      </c>
      <c r="W413">
        <v>212</v>
      </c>
    </row>
    <row r="414" spans="1:23" x14ac:dyDescent="0.2">
      <c r="A414" t="s">
        <v>572</v>
      </c>
      <c r="B414" t="s">
        <v>158</v>
      </c>
      <c r="C414" t="s">
        <v>159</v>
      </c>
      <c r="D414" t="s">
        <v>159</v>
      </c>
      <c r="E414" t="s">
        <v>159</v>
      </c>
      <c r="F414" t="s">
        <v>159</v>
      </c>
      <c r="G414" t="s">
        <v>159</v>
      </c>
      <c r="H414" t="s">
        <v>159</v>
      </c>
      <c r="I414" t="s">
        <v>159</v>
      </c>
      <c r="J414" t="s">
        <v>159</v>
      </c>
      <c r="K414" t="s">
        <v>159</v>
      </c>
      <c r="L414" t="s">
        <v>159</v>
      </c>
      <c r="M414" t="s">
        <v>159</v>
      </c>
      <c r="N414" t="s">
        <v>159</v>
      </c>
      <c r="O414" t="s">
        <v>159</v>
      </c>
      <c r="P414" t="s">
        <v>159</v>
      </c>
      <c r="Q414" t="s">
        <v>159</v>
      </c>
      <c r="R414" t="s">
        <v>159</v>
      </c>
      <c r="S414" t="s">
        <v>159</v>
      </c>
      <c r="T414" t="s">
        <v>159</v>
      </c>
      <c r="U414" t="s">
        <v>159</v>
      </c>
      <c r="V414" t="s">
        <v>159</v>
      </c>
      <c r="W414" t="s">
        <v>159</v>
      </c>
    </row>
    <row r="415" spans="1:23" x14ac:dyDescent="0.2">
      <c r="A415" t="s">
        <v>573</v>
      </c>
      <c r="B415" t="s">
        <v>157</v>
      </c>
      <c r="C415">
        <v>5255.1173114776611</v>
      </c>
      <c r="D415">
        <v>6559</v>
      </c>
      <c r="E415">
        <v>24019</v>
      </c>
      <c r="F415">
        <v>13</v>
      </c>
      <c r="G415">
        <v>12</v>
      </c>
      <c r="H415">
        <v>5375.391304347826</v>
      </c>
      <c r="I415">
        <v>1.112676056338028</v>
      </c>
      <c r="J415">
        <v>1.7173913043478259</v>
      </c>
      <c r="K415">
        <v>1.543478260869565</v>
      </c>
      <c r="L415">
        <v>3.833333333333333</v>
      </c>
      <c r="M415">
        <v>39701</v>
      </c>
      <c r="N415">
        <v>2</v>
      </c>
      <c r="O415">
        <v>5</v>
      </c>
      <c r="P415">
        <v>71</v>
      </c>
      <c r="Q415">
        <v>46</v>
      </c>
      <c r="R415">
        <v>12</v>
      </c>
      <c r="S415">
        <v>25</v>
      </c>
      <c r="T415">
        <v>1071</v>
      </c>
      <c r="U415">
        <v>272</v>
      </c>
      <c r="V415">
        <v>247268</v>
      </c>
      <c r="W415">
        <v>79</v>
      </c>
    </row>
    <row r="416" spans="1:23" x14ac:dyDescent="0.2">
      <c r="A416" t="s">
        <v>574</v>
      </c>
      <c r="B416" t="s">
        <v>157</v>
      </c>
      <c r="C416">
        <v>387.87464094161987</v>
      </c>
      <c r="D416">
        <v>1215</v>
      </c>
      <c r="E416">
        <v>1610</v>
      </c>
      <c r="F416">
        <v>11</v>
      </c>
      <c r="G416">
        <v>10</v>
      </c>
      <c r="H416">
        <v>150.57499999999999</v>
      </c>
      <c r="I416">
        <v>1</v>
      </c>
      <c r="J416">
        <v>1.5249999999999999</v>
      </c>
      <c r="K416">
        <v>1.5249999999999999</v>
      </c>
      <c r="L416">
        <v>4</v>
      </c>
      <c r="M416">
        <v>855</v>
      </c>
      <c r="N416">
        <v>1</v>
      </c>
      <c r="O416">
        <v>2</v>
      </c>
      <c r="P416">
        <v>61</v>
      </c>
      <c r="Q416">
        <v>40</v>
      </c>
      <c r="R416">
        <v>10</v>
      </c>
      <c r="S416">
        <v>11</v>
      </c>
      <c r="T416">
        <v>379</v>
      </c>
      <c r="U416">
        <v>92</v>
      </c>
      <c r="V416">
        <v>6023</v>
      </c>
      <c r="W416">
        <v>61</v>
      </c>
    </row>
    <row r="417" spans="1:23" x14ac:dyDescent="0.2">
      <c r="A417" t="s">
        <v>575</v>
      </c>
      <c r="B417" t="s">
        <v>157</v>
      </c>
      <c r="C417">
        <v>2216.1691739559178</v>
      </c>
      <c r="D417">
        <v>2094</v>
      </c>
      <c r="E417">
        <v>3748</v>
      </c>
      <c r="F417">
        <v>10</v>
      </c>
      <c r="G417">
        <v>9</v>
      </c>
      <c r="H417">
        <v>55861738986339.883</v>
      </c>
      <c r="I417">
        <v>1.019047619047619</v>
      </c>
      <c r="J417">
        <v>2.0776699029126209</v>
      </c>
      <c r="K417">
        <v>2.0388349514563111</v>
      </c>
      <c r="L417">
        <v>11.444444444444439</v>
      </c>
      <c r="M417">
        <v>1212982689600000</v>
      </c>
      <c r="N417">
        <v>2</v>
      </c>
      <c r="O417">
        <v>4</v>
      </c>
      <c r="P417">
        <v>210</v>
      </c>
      <c r="Q417">
        <v>103</v>
      </c>
      <c r="R417">
        <v>9</v>
      </c>
      <c r="S417">
        <v>19</v>
      </c>
      <c r="T417">
        <v>1743</v>
      </c>
      <c r="U417">
        <v>144</v>
      </c>
      <c r="V417">
        <v>5753759115593007</v>
      </c>
      <c r="W417">
        <v>214</v>
      </c>
    </row>
    <row r="418" spans="1:23" x14ac:dyDescent="0.2">
      <c r="A418" t="s">
        <v>576</v>
      </c>
      <c r="B418" t="s">
        <v>157</v>
      </c>
      <c r="C418">
        <v>11.779493093490601</v>
      </c>
      <c r="D418">
        <v>278</v>
      </c>
      <c r="E418">
        <v>378</v>
      </c>
      <c r="F418">
        <v>9</v>
      </c>
      <c r="G418">
        <v>8</v>
      </c>
      <c r="H418">
        <v>129.72549019607851</v>
      </c>
      <c r="I418">
        <v>1.0543478260869561</v>
      </c>
      <c r="J418">
        <v>1.9019607843137261</v>
      </c>
      <c r="K418">
        <v>1.803921568627451</v>
      </c>
      <c r="L418">
        <v>6.375</v>
      </c>
      <c r="M418">
        <v>1056</v>
      </c>
      <c r="N418">
        <v>2</v>
      </c>
      <c r="O418">
        <v>3</v>
      </c>
      <c r="P418">
        <v>92</v>
      </c>
      <c r="Q418">
        <v>51</v>
      </c>
      <c r="R418">
        <v>8</v>
      </c>
      <c r="S418">
        <v>10</v>
      </c>
      <c r="T418">
        <v>413</v>
      </c>
      <c r="U418">
        <v>62</v>
      </c>
      <c r="V418">
        <v>6616</v>
      </c>
      <c r="W418">
        <v>97</v>
      </c>
    </row>
    <row r="419" spans="1:23" x14ac:dyDescent="0.2">
      <c r="A419" t="s">
        <v>577</v>
      </c>
      <c r="B419" t="s">
        <v>157</v>
      </c>
      <c r="C419">
        <v>1423.4009938240049</v>
      </c>
      <c r="D419">
        <v>2485</v>
      </c>
      <c r="E419">
        <v>4142</v>
      </c>
      <c r="F419">
        <v>10</v>
      </c>
      <c r="G419">
        <v>9</v>
      </c>
      <c r="H419">
        <v>0.69811320754716977</v>
      </c>
      <c r="I419">
        <v>1</v>
      </c>
      <c r="J419">
        <v>2.0188679245283021</v>
      </c>
      <c r="K419">
        <v>2.0188679245283021</v>
      </c>
      <c r="L419">
        <v>5.8888888888888893</v>
      </c>
      <c r="M419">
        <v>8</v>
      </c>
      <c r="N419">
        <v>1</v>
      </c>
      <c r="O419">
        <v>3</v>
      </c>
      <c r="P419">
        <v>107</v>
      </c>
      <c r="Q419">
        <v>53</v>
      </c>
      <c r="R419">
        <v>9</v>
      </c>
      <c r="S419">
        <v>10</v>
      </c>
      <c r="T419">
        <v>423</v>
      </c>
      <c r="U419">
        <v>66</v>
      </c>
      <c r="V419">
        <v>37</v>
      </c>
      <c r="W419">
        <v>107</v>
      </c>
    </row>
    <row r="420" spans="1:23" x14ac:dyDescent="0.2">
      <c r="A420" t="s">
        <v>578</v>
      </c>
      <c r="B420" t="s">
        <v>157</v>
      </c>
      <c r="C420">
        <v>1346.63032078743</v>
      </c>
      <c r="D420">
        <v>2648</v>
      </c>
      <c r="E420">
        <v>4556</v>
      </c>
      <c r="F420">
        <v>10</v>
      </c>
      <c r="G420">
        <v>9</v>
      </c>
      <c r="H420">
        <v>0.69811320754716977</v>
      </c>
      <c r="I420">
        <v>1</v>
      </c>
      <c r="J420">
        <v>2.0188679245283021</v>
      </c>
      <c r="K420">
        <v>2.0188679245283021</v>
      </c>
      <c r="L420">
        <v>5.8888888888888893</v>
      </c>
      <c r="M420">
        <v>8</v>
      </c>
      <c r="N420">
        <v>1</v>
      </c>
      <c r="O420">
        <v>3</v>
      </c>
      <c r="P420">
        <v>107</v>
      </c>
      <c r="Q420">
        <v>53</v>
      </c>
      <c r="R420">
        <v>9</v>
      </c>
      <c r="S420">
        <v>10</v>
      </c>
      <c r="T420">
        <v>423</v>
      </c>
      <c r="U420">
        <v>66</v>
      </c>
      <c r="V420">
        <v>37</v>
      </c>
      <c r="W420">
        <v>107</v>
      </c>
    </row>
    <row r="421" spans="1:23" x14ac:dyDescent="0.2">
      <c r="A421" t="s">
        <v>579</v>
      </c>
      <c r="B421" t="s">
        <v>157</v>
      </c>
      <c r="C421">
        <v>200.51564073562619</v>
      </c>
      <c r="D421">
        <v>618</v>
      </c>
      <c r="E421">
        <v>1261</v>
      </c>
      <c r="F421">
        <v>9</v>
      </c>
      <c r="G421">
        <v>8</v>
      </c>
      <c r="H421">
        <v>1.55</v>
      </c>
      <c r="I421">
        <v>1.1208791208791209</v>
      </c>
      <c r="J421">
        <v>1.7</v>
      </c>
      <c r="K421">
        <v>1.5166666666666671</v>
      </c>
      <c r="L421">
        <v>7.5</v>
      </c>
      <c r="M421">
        <v>2</v>
      </c>
      <c r="N421">
        <v>2</v>
      </c>
      <c r="O421">
        <v>2</v>
      </c>
      <c r="P421">
        <v>91</v>
      </c>
      <c r="Q421">
        <v>60</v>
      </c>
      <c r="R421">
        <v>8</v>
      </c>
      <c r="S421">
        <v>17</v>
      </c>
      <c r="T421">
        <v>918</v>
      </c>
      <c r="U421">
        <v>121</v>
      </c>
      <c r="V421">
        <v>93</v>
      </c>
      <c r="W421">
        <v>102</v>
      </c>
    </row>
    <row r="422" spans="1:23" x14ac:dyDescent="0.2">
      <c r="A422" t="s">
        <v>580</v>
      </c>
      <c r="B422" t="s">
        <v>157</v>
      </c>
      <c r="C422">
        <v>4250.8479082584381</v>
      </c>
      <c r="D422">
        <v>2558</v>
      </c>
      <c r="E422">
        <v>4162</v>
      </c>
      <c r="F422">
        <v>10</v>
      </c>
      <c r="G422">
        <v>9</v>
      </c>
      <c r="H422">
        <v>58996447823233.078</v>
      </c>
      <c r="I422">
        <v>1.028169014084507</v>
      </c>
      <c r="J422">
        <v>2.1262135922330101</v>
      </c>
      <c r="K422">
        <v>2.0679611650485441</v>
      </c>
      <c r="L422">
        <v>11.444444444444439</v>
      </c>
      <c r="M422">
        <v>1212982689600000</v>
      </c>
      <c r="N422">
        <v>2</v>
      </c>
      <c r="O422">
        <v>4</v>
      </c>
      <c r="P422">
        <v>213</v>
      </c>
      <c r="Q422">
        <v>103</v>
      </c>
      <c r="R422">
        <v>9</v>
      </c>
      <c r="S422">
        <v>19</v>
      </c>
      <c r="T422">
        <v>1738</v>
      </c>
      <c r="U422">
        <v>144</v>
      </c>
      <c r="V422">
        <v>6076634125793007</v>
      </c>
      <c r="W422">
        <v>219</v>
      </c>
    </row>
    <row r="423" spans="1:23" x14ac:dyDescent="0.2">
      <c r="A423" t="s">
        <v>581</v>
      </c>
      <c r="B423" t="s">
        <v>157</v>
      </c>
      <c r="C423">
        <v>104.4491415023804</v>
      </c>
      <c r="D423">
        <v>1755</v>
      </c>
      <c r="E423">
        <v>3874</v>
      </c>
      <c r="F423">
        <v>10</v>
      </c>
      <c r="G423">
        <v>9</v>
      </c>
      <c r="H423">
        <v>0.67924528301886788</v>
      </c>
      <c r="I423">
        <v>1</v>
      </c>
      <c r="J423">
        <v>1.4905660377358489</v>
      </c>
      <c r="K423">
        <v>1.4905660377358489</v>
      </c>
      <c r="L423">
        <v>5.8888888888888893</v>
      </c>
      <c r="M423">
        <v>8</v>
      </c>
      <c r="N423">
        <v>1</v>
      </c>
      <c r="O423">
        <v>2</v>
      </c>
      <c r="P423">
        <v>79</v>
      </c>
      <c r="Q423">
        <v>53</v>
      </c>
      <c r="R423">
        <v>9</v>
      </c>
      <c r="S423">
        <v>10</v>
      </c>
      <c r="T423">
        <v>451</v>
      </c>
      <c r="U423">
        <v>74</v>
      </c>
      <c r="V423">
        <v>36</v>
      </c>
      <c r="W423">
        <v>79</v>
      </c>
    </row>
    <row r="424" spans="1:23" x14ac:dyDescent="0.2">
      <c r="A424" t="s">
        <v>582</v>
      </c>
      <c r="B424" t="s">
        <v>157</v>
      </c>
      <c r="C424">
        <v>250.70016288757321</v>
      </c>
      <c r="D424">
        <v>358</v>
      </c>
      <c r="E424">
        <v>2625</v>
      </c>
      <c r="F424">
        <v>6</v>
      </c>
      <c r="G424">
        <v>5</v>
      </c>
      <c r="H424">
        <v>2.034782608695652</v>
      </c>
      <c r="I424">
        <v>1.6647398843930641</v>
      </c>
      <c r="J424">
        <v>2.5043478260869572</v>
      </c>
      <c r="K424">
        <v>1.5043478260869561</v>
      </c>
      <c r="L424">
        <v>23</v>
      </c>
      <c r="M424">
        <v>6</v>
      </c>
      <c r="N424">
        <v>3</v>
      </c>
      <c r="O424">
        <v>2</v>
      </c>
      <c r="P424">
        <v>173</v>
      </c>
      <c r="Q424">
        <v>115</v>
      </c>
      <c r="R424">
        <v>5</v>
      </c>
      <c r="S424">
        <v>16</v>
      </c>
      <c r="T424">
        <v>1552</v>
      </c>
      <c r="U424">
        <v>65</v>
      </c>
      <c r="V424">
        <v>234</v>
      </c>
      <c r="W424">
        <v>288</v>
      </c>
    </row>
    <row r="425" spans="1:23" x14ac:dyDescent="0.2">
      <c r="A425" t="s">
        <v>583</v>
      </c>
      <c r="B425" t="s">
        <v>157</v>
      </c>
      <c r="C425">
        <v>44.802861452102661</v>
      </c>
      <c r="D425">
        <v>465</v>
      </c>
      <c r="E425">
        <v>629</v>
      </c>
      <c r="F425">
        <v>9</v>
      </c>
      <c r="G425">
        <v>8</v>
      </c>
      <c r="H425">
        <v>0.65116279069767447</v>
      </c>
      <c r="I425">
        <v>1</v>
      </c>
      <c r="J425">
        <v>1.441860465116279</v>
      </c>
      <c r="K425">
        <v>1.441860465116279</v>
      </c>
      <c r="L425">
        <v>5.375</v>
      </c>
      <c r="M425">
        <v>7</v>
      </c>
      <c r="N425">
        <v>1</v>
      </c>
      <c r="O425">
        <v>2</v>
      </c>
      <c r="P425">
        <v>62</v>
      </c>
      <c r="Q425">
        <v>43</v>
      </c>
      <c r="R425">
        <v>8</v>
      </c>
      <c r="S425">
        <v>9</v>
      </c>
      <c r="T425">
        <v>325</v>
      </c>
      <c r="U425">
        <v>58</v>
      </c>
      <c r="V425">
        <v>28</v>
      </c>
      <c r="W425">
        <v>62</v>
      </c>
    </row>
    <row r="426" spans="1:23" x14ac:dyDescent="0.2">
      <c r="A426" t="s">
        <v>584</v>
      </c>
      <c r="B426" t="s">
        <v>157</v>
      </c>
      <c r="C426">
        <v>14.54401206970215</v>
      </c>
      <c r="D426">
        <v>575</v>
      </c>
      <c r="E426">
        <v>349</v>
      </c>
      <c r="F426">
        <v>11</v>
      </c>
      <c r="G426">
        <v>10</v>
      </c>
      <c r="H426">
        <v>152.27500000000001</v>
      </c>
      <c r="I426">
        <v>1</v>
      </c>
      <c r="J426">
        <v>1.5249999999999999</v>
      </c>
      <c r="K426">
        <v>1.5249999999999999</v>
      </c>
      <c r="L426">
        <v>4</v>
      </c>
      <c r="M426">
        <v>855</v>
      </c>
      <c r="N426">
        <v>1</v>
      </c>
      <c r="O426">
        <v>2</v>
      </c>
      <c r="P426">
        <v>61</v>
      </c>
      <c r="Q426">
        <v>40</v>
      </c>
      <c r="R426">
        <v>10</v>
      </c>
      <c r="S426">
        <v>11</v>
      </c>
      <c r="T426">
        <v>379</v>
      </c>
      <c r="U426">
        <v>92</v>
      </c>
      <c r="V426">
        <v>6091</v>
      </c>
      <c r="W426">
        <v>61</v>
      </c>
    </row>
    <row r="427" spans="1:23" x14ac:dyDescent="0.2">
      <c r="A427" t="s">
        <v>585</v>
      </c>
      <c r="B427" t="s">
        <v>157</v>
      </c>
      <c r="C427">
        <v>226.54932594299319</v>
      </c>
      <c r="D427">
        <v>590</v>
      </c>
      <c r="E427">
        <v>1163</v>
      </c>
      <c r="F427">
        <v>9</v>
      </c>
      <c r="G427">
        <v>8</v>
      </c>
      <c r="H427">
        <v>1.55</v>
      </c>
      <c r="I427">
        <v>1.1208791208791209</v>
      </c>
      <c r="J427">
        <v>1.7</v>
      </c>
      <c r="K427">
        <v>1.5166666666666671</v>
      </c>
      <c r="L427">
        <v>7.5</v>
      </c>
      <c r="M427">
        <v>2</v>
      </c>
      <c r="N427">
        <v>2</v>
      </c>
      <c r="O427">
        <v>2</v>
      </c>
      <c r="P427">
        <v>91</v>
      </c>
      <c r="Q427">
        <v>60</v>
      </c>
      <c r="R427">
        <v>8</v>
      </c>
      <c r="S427">
        <v>17</v>
      </c>
      <c r="T427">
        <v>918</v>
      </c>
      <c r="U427">
        <v>121</v>
      </c>
      <c r="V427">
        <v>93</v>
      </c>
      <c r="W427">
        <v>102</v>
      </c>
    </row>
    <row r="428" spans="1:23" x14ac:dyDescent="0.2">
      <c r="A428" t="s">
        <v>586</v>
      </c>
      <c r="B428" t="s">
        <v>158</v>
      </c>
      <c r="C428" t="s">
        <v>159</v>
      </c>
      <c r="D428" t="s">
        <v>159</v>
      </c>
      <c r="E428" t="s">
        <v>159</v>
      </c>
      <c r="F428" t="s">
        <v>159</v>
      </c>
      <c r="G428" t="s">
        <v>159</v>
      </c>
      <c r="H428" t="s">
        <v>159</v>
      </c>
      <c r="I428" t="s">
        <v>159</v>
      </c>
      <c r="J428" t="s">
        <v>159</v>
      </c>
      <c r="K428" t="s">
        <v>159</v>
      </c>
      <c r="L428" t="s">
        <v>159</v>
      </c>
      <c r="M428" t="s">
        <v>159</v>
      </c>
      <c r="N428" t="s">
        <v>159</v>
      </c>
      <c r="O428" t="s">
        <v>159</v>
      </c>
      <c r="P428" t="s">
        <v>159</v>
      </c>
      <c r="Q428" t="s">
        <v>159</v>
      </c>
      <c r="R428" t="s">
        <v>159</v>
      </c>
      <c r="S428" t="s">
        <v>159</v>
      </c>
      <c r="T428" t="s">
        <v>159</v>
      </c>
      <c r="U428" t="s">
        <v>159</v>
      </c>
      <c r="V428" t="s">
        <v>159</v>
      </c>
      <c r="W428" t="s">
        <v>159</v>
      </c>
    </row>
    <row r="429" spans="1:23" x14ac:dyDescent="0.2">
      <c r="A429" t="s">
        <v>587</v>
      </c>
      <c r="B429" t="s">
        <v>157</v>
      </c>
      <c r="C429">
        <v>824.74283838272095</v>
      </c>
      <c r="D429">
        <v>1574</v>
      </c>
      <c r="E429">
        <v>3413</v>
      </c>
      <c r="F429">
        <v>10</v>
      </c>
      <c r="G429">
        <v>9</v>
      </c>
      <c r="H429">
        <v>0.67924528301886788</v>
      </c>
      <c r="I429">
        <v>1</v>
      </c>
      <c r="J429">
        <v>1.4905660377358489</v>
      </c>
      <c r="K429">
        <v>1.4905660377358489</v>
      </c>
      <c r="L429">
        <v>5.8888888888888893</v>
      </c>
      <c r="M429">
        <v>8</v>
      </c>
      <c r="N429">
        <v>1</v>
      </c>
      <c r="O429">
        <v>2</v>
      </c>
      <c r="P429">
        <v>79</v>
      </c>
      <c r="Q429">
        <v>53</v>
      </c>
      <c r="R429">
        <v>9</v>
      </c>
      <c r="S429">
        <v>10</v>
      </c>
      <c r="T429">
        <v>451</v>
      </c>
      <c r="U429">
        <v>74</v>
      </c>
      <c r="V429">
        <v>36</v>
      </c>
      <c r="W429">
        <v>79</v>
      </c>
    </row>
    <row r="430" spans="1:23" x14ac:dyDescent="0.2">
      <c r="A430" t="s">
        <v>588</v>
      </c>
      <c r="B430" t="s">
        <v>813</v>
      </c>
      <c r="C430" t="s">
        <v>159</v>
      </c>
      <c r="D430" t="s">
        <v>159</v>
      </c>
      <c r="E430" t="s">
        <v>159</v>
      </c>
      <c r="F430" t="s">
        <v>159</v>
      </c>
      <c r="G430" t="s">
        <v>159</v>
      </c>
      <c r="H430" t="s">
        <v>159</v>
      </c>
      <c r="I430" t="s">
        <v>159</v>
      </c>
      <c r="J430" t="s">
        <v>159</v>
      </c>
      <c r="K430" t="s">
        <v>159</v>
      </c>
      <c r="L430" t="s">
        <v>159</v>
      </c>
      <c r="M430" t="s">
        <v>159</v>
      </c>
      <c r="N430" t="s">
        <v>159</v>
      </c>
      <c r="O430" t="s">
        <v>159</v>
      </c>
      <c r="P430" t="s">
        <v>159</v>
      </c>
      <c r="Q430" t="s">
        <v>159</v>
      </c>
      <c r="R430" t="s">
        <v>159</v>
      </c>
      <c r="S430" t="s">
        <v>159</v>
      </c>
      <c r="T430" t="s">
        <v>159</v>
      </c>
      <c r="U430" t="s">
        <v>159</v>
      </c>
      <c r="V430" t="s">
        <v>159</v>
      </c>
      <c r="W430" t="s">
        <v>159</v>
      </c>
    </row>
    <row r="431" spans="1:23" x14ac:dyDescent="0.2">
      <c r="A431" t="s">
        <v>589</v>
      </c>
      <c r="B431" t="s">
        <v>158</v>
      </c>
      <c r="C431" t="s">
        <v>159</v>
      </c>
      <c r="D431" t="s">
        <v>159</v>
      </c>
      <c r="E431" t="s">
        <v>159</v>
      </c>
      <c r="F431" t="s">
        <v>159</v>
      </c>
      <c r="G431" t="s">
        <v>159</v>
      </c>
      <c r="H431" t="s">
        <v>159</v>
      </c>
      <c r="I431" t="s">
        <v>159</v>
      </c>
      <c r="J431" t="s">
        <v>159</v>
      </c>
      <c r="K431" t="s">
        <v>159</v>
      </c>
      <c r="L431" t="s">
        <v>159</v>
      </c>
      <c r="M431" t="s">
        <v>159</v>
      </c>
      <c r="N431" t="s">
        <v>159</v>
      </c>
      <c r="O431" t="s">
        <v>159</v>
      </c>
      <c r="P431" t="s">
        <v>159</v>
      </c>
      <c r="Q431" t="s">
        <v>159</v>
      </c>
      <c r="R431" t="s">
        <v>159</v>
      </c>
      <c r="S431" t="s">
        <v>159</v>
      </c>
      <c r="T431" t="s">
        <v>159</v>
      </c>
      <c r="U431" t="s">
        <v>159</v>
      </c>
      <c r="V431" t="s">
        <v>159</v>
      </c>
      <c r="W431" t="s">
        <v>159</v>
      </c>
    </row>
    <row r="432" spans="1:23" x14ac:dyDescent="0.2">
      <c r="A432" t="s">
        <v>590</v>
      </c>
      <c r="B432" t="s">
        <v>158</v>
      </c>
      <c r="C432" t="s">
        <v>159</v>
      </c>
      <c r="D432" t="s">
        <v>159</v>
      </c>
      <c r="E432" t="s">
        <v>159</v>
      </c>
      <c r="F432" t="s">
        <v>159</v>
      </c>
      <c r="G432" t="s">
        <v>159</v>
      </c>
      <c r="H432" t="s">
        <v>159</v>
      </c>
      <c r="I432" t="s">
        <v>159</v>
      </c>
      <c r="J432" t="s">
        <v>159</v>
      </c>
      <c r="K432" t="s">
        <v>159</v>
      </c>
      <c r="L432" t="s">
        <v>159</v>
      </c>
      <c r="M432" t="s">
        <v>159</v>
      </c>
      <c r="N432" t="s">
        <v>159</v>
      </c>
      <c r="O432" t="s">
        <v>159</v>
      </c>
      <c r="P432" t="s">
        <v>159</v>
      </c>
      <c r="Q432" t="s">
        <v>159</v>
      </c>
      <c r="R432" t="s">
        <v>159</v>
      </c>
      <c r="S432" t="s">
        <v>159</v>
      </c>
      <c r="T432" t="s">
        <v>159</v>
      </c>
      <c r="U432" t="s">
        <v>159</v>
      </c>
      <c r="V432" t="s">
        <v>159</v>
      </c>
      <c r="W432" t="s">
        <v>159</v>
      </c>
    </row>
    <row r="433" spans="1:23" x14ac:dyDescent="0.2">
      <c r="A433" t="s">
        <v>591</v>
      </c>
      <c r="B433" t="s">
        <v>157</v>
      </c>
      <c r="C433">
        <v>9.8697805404663086</v>
      </c>
      <c r="D433">
        <v>266</v>
      </c>
      <c r="E433">
        <v>393</v>
      </c>
      <c r="F433">
        <v>9</v>
      </c>
      <c r="G433">
        <v>8</v>
      </c>
      <c r="H433">
        <v>51.470588235294109</v>
      </c>
      <c r="I433">
        <v>1.053763440860215</v>
      </c>
      <c r="J433">
        <v>1.92156862745098</v>
      </c>
      <c r="K433">
        <v>1.8235294117647061</v>
      </c>
      <c r="L433">
        <v>6.375</v>
      </c>
      <c r="M433">
        <v>284</v>
      </c>
      <c r="N433">
        <v>2</v>
      </c>
      <c r="O433">
        <v>3</v>
      </c>
      <c r="P433">
        <v>93</v>
      </c>
      <c r="Q433">
        <v>51</v>
      </c>
      <c r="R433">
        <v>8</v>
      </c>
      <c r="S433">
        <v>10</v>
      </c>
      <c r="T433">
        <v>412</v>
      </c>
      <c r="U433">
        <v>62</v>
      </c>
      <c r="V433">
        <v>2625</v>
      </c>
      <c r="W433">
        <v>98</v>
      </c>
    </row>
    <row r="434" spans="1:23" x14ac:dyDescent="0.2">
      <c r="A434" t="s">
        <v>592</v>
      </c>
      <c r="B434" t="s">
        <v>157</v>
      </c>
      <c r="C434">
        <v>35.784528970718377</v>
      </c>
      <c r="D434">
        <v>363</v>
      </c>
      <c r="E434">
        <v>704</v>
      </c>
      <c r="F434">
        <v>9</v>
      </c>
      <c r="G434">
        <v>8</v>
      </c>
      <c r="H434">
        <v>50.450980392156858</v>
      </c>
      <c r="I434">
        <v>1.0543478260869561</v>
      </c>
      <c r="J434">
        <v>1.9019607843137261</v>
      </c>
      <c r="K434">
        <v>1.803921568627451</v>
      </c>
      <c r="L434">
        <v>6.375</v>
      </c>
      <c r="M434">
        <v>284</v>
      </c>
      <c r="N434">
        <v>2</v>
      </c>
      <c r="O434">
        <v>3</v>
      </c>
      <c r="P434">
        <v>92</v>
      </c>
      <c r="Q434">
        <v>51</v>
      </c>
      <c r="R434">
        <v>8</v>
      </c>
      <c r="S434">
        <v>10</v>
      </c>
      <c r="T434">
        <v>413</v>
      </c>
      <c r="U434">
        <v>62</v>
      </c>
      <c r="V434">
        <v>2573</v>
      </c>
      <c r="W434">
        <v>97</v>
      </c>
    </row>
    <row r="435" spans="1:23" x14ac:dyDescent="0.2">
      <c r="A435" t="s">
        <v>593</v>
      </c>
      <c r="B435" t="s">
        <v>157</v>
      </c>
      <c r="C435">
        <v>6108.9733192920676</v>
      </c>
      <c r="D435">
        <v>6681</v>
      </c>
      <c r="E435">
        <v>24070</v>
      </c>
      <c r="F435">
        <v>13</v>
      </c>
      <c r="G435">
        <v>12</v>
      </c>
      <c r="H435">
        <v>5375.391304347826</v>
      </c>
      <c r="I435">
        <v>1.112676056338028</v>
      </c>
      <c r="J435">
        <v>1.7173913043478259</v>
      </c>
      <c r="K435">
        <v>1.543478260869565</v>
      </c>
      <c r="L435">
        <v>3.833333333333333</v>
      </c>
      <c r="M435">
        <v>39701</v>
      </c>
      <c r="N435">
        <v>2</v>
      </c>
      <c r="O435">
        <v>5</v>
      </c>
      <c r="P435">
        <v>71</v>
      </c>
      <c r="Q435">
        <v>46</v>
      </c>
      <c r="R435">
        <v>12</v>
      </c>
      <c r="S435">
        <v>25</v>
      </c>
      <c r="T435">
        <v>1071</v>
      </c>
      <c r="U435">
        <v>272</v>
      </c>
      <c r="V435">
        <v>247268</v>
      </c>
      <c r="W435">
        <v>79</v>
      </c>
    </row>
    <row r="436" spans="1:23" x14ac:dyDescent="0.2">
      <c r="A436" t="s">
        <v>594</v>
      </c>
      <c r="B436" t="s">
        <v>157</v>
      </c>
      <c r="C436">
        <v>25.902231216430661</v>
      </c>
      <c r="D436">
        <v>558</v>
      </c>
      <c r="E436">
        <v>340</v>
      </c>
      <c r="F436">
        <v>11</v>
      </c>
      <c r="G436">
        <v>10</v>
      </c>
      <c r="H436">
        <v>151.57499999999999</v>
      </c>
      <c r="I436">
        <v>1</v>
      </c>
      <c r="J436">
        <v>1.5249999999999999</v>
      </c>
      <c r="K436">
        <v>1.5249999999999999</v>
      </c>
      <c r="L436">
        <v>4</v>
      </c>
      <c r="M436">
        <v>855</v>
      </c>
      <c r="N436">
        <v>1</v>
      </c>
      <c r="O436">
        <v>2</v>
      </c>
      <c r="P436">
        <v>61</v>
      </c>
      <c r="Q436">
        <v>40</v>
      </c>
      <c r="R436">
        <v>10</v>
      </c>
      <c r="S436">
        <v>11</v>
      </c>
      <c r="T436">
        <v>379</v>
      </c>
      <c r="U436">
        <v>92</v>
      </c>
      <c r="V436">
        <v>6063</v>
      </c>
      <c r="W436">
        <v>61</v>
      </c>
    </row>
    <row r="437" spans="1:23" x14ac:dyDescent="0.2">
      <c r="A437" t="s">
        <v>595</v>
      </c>
      <c r="B437" t="s">
        <v>157</v>
      </c>
      <c r="C437">
        <v>5.7199752330780029</v>
      </c>
      <c r="D437">
        <v>142</v>
      </c>
      <c r="E437">
        <v>950</v>
      </c>
      <c r="F437">
        <v>8</v>
      </c>
      <c r="G437">
        <v>6</v>
      </c>
      <c r="H437">
        <v>0</v>
      </c>
      <c r="I437">
        <v>1.056179775280899</v>
      </c>
      <c r="J437">
        <v>2.9375</v>
      </c>
      <c r="K437">
        <v>2.78125</v>
      </c>
      <c r="L437">
        <v>5.333333333333333</v>
      </c>
      <c r="M437">
        <v>0</v>
      </c>
      <c r="N437">
        <v>6</v>
      </c>
      <c r="O437">
        <v>5</v>
      </c>
      <c r="P437">
        <v>89</v>
      </c>
      <c r="Q437">
        <v>32</v>
      </c>
      <c r="R437">
        <v>6</v>
      </c>
      <c r="S437">
        <v>13</v>
      </c>
      <c r="T437">
        <v>322</v>
      </c>
      <c r="U437">
        <v>57</v>
      </c>
      <c r="V437">
        <v>0</v>
      </c>
      <c r="W437">
        <v>94</v>
      </c>
    </row>
    <row r="438" spans="1:23" x14ac:dyDescent="0.2">
      <c r="A438" t="s">
        <v>596</v>
      </c>
      <c r="B438" t="s">
        <v>157</v>
      </c>
      <c r="C438">
        <v>6.3515429496765137</v>
      </c>
      <c r="D438">
        <v>6659</v>
      </c>
      <c r="E438">
        <v>10049</v>
      </c>
      <c r="F438">
        <v>17</v>
      </c>
      <c r="G438">
        <v>16</v>
      </c>
      <c r="H438">
        <v>0</v>
      </c>
      <c r="I438">
        <v>1.032520325203252</v>
      </c>
      <c r="J438">
        <v>1.984375</v>
      </c>
      <c r="K438">
        <v>1.921875</v>
      </c>
      <c r="L438">
        <v>4</v>
      </c>
      <c r="M438">
        <v>0</v>
      </c>
      <c r="N438">
        <v>2</v>
      </c>
      <c r="O438">
        <v>2</v>
      </c>
      <c r="P438">
        <v>123</v>
      </c>
      <c r="Q438">
        <v>64</v>
      </c>
      <c r="R438">
        <v>16</v>
      </c>
      <c r="S438">
        <v>21</v>
      </c>
      <c r="T438">
        <v>1217</v>
      </c>
      <c r="U438">
        <v>304</v>
      </c>
      <c r="V438">
        <v>0</v>
      </c>
      <c r="W438">
        <v>127</v>
      </c>
    </row>
    <row r="439" spans="1:23" x14ac:dyDescent="0.2">
      <c r="A439" t="s">
        <v>597</v>
      </c>
      <c r="B439" t="s">
        <v>157</v>
      </c>
      <c r="C439">
        <v>5.566864013671875</v>
      </c>
      <c r="D439">
        <v>278</v>
      </c>
      <c r="E439">
        <v>241</v>
      </c>
      <c r="F439">
        <v>8</v>
      </c>
      <c r="G439">
        <v>7</v>
      </c>
      <c r="H439">
        <v>0.6470588235294118</v>
      </c>
      <c r="I439">
        <v>1</v>
      </c>
      <c r="J439">
        <v>1.8235294117647061</v>
      </c>
      <c r="K439">
        <v>1.8235294117647061</v>
      </c>
      <c r="L439">
        <v>4.8571428571428568</v>
      </c>
      <c r="M439">
        <v>6</v>
      </c>
      <c r="N439">
        <v>1</v>
      </c>
      <c r="O439">
        <v>3</v>
      </c>
      <c r="P439">
        <v>62</v>
      </c>
      <c r="Q439">
        <v>34</v>
      </c>
      <c r="R439">
        <v>7</v>
      </c>
      <c r="S439">
        <v>8</v>
      </c>
      <c r="T439">
        <v>210</v>
      </c>
      <c r="U439">
        <v>38</v>
      </c>
      <c r="V439">
        <v>22</v>
      </c>
      <c r="W439">
        <v>62</v>
      </c>
    </row>
    <row r="440" spans="1:23" x14ac:dyDescent="0.2">
      <c r="A440" t="s">
        <v>598</v>
      </c>
      <c r="B440" t="s">
        <v>157</v>
      </c>
      <c r="C440">
        <v>9.9184870719909686</v>
      </c>
      <c r="D440">
        <v>267</v>
      </c>
      <c r="E440">
        <v>358</v>
      </c>
      <c r="F440">
        <v>9</v>
      </c>
      <c r="G440">
        <v>8</v>
      </c>
      <c r="H440">
        <v>51.313725490196077</v>
      </c>
      <c r="I440">
        <v>1.0543478260869561</v>
      </c>
      <c r="J440">
        <v>1.9019607843137261</v>
      </c>
      <c r="K440">
        <v>1.803921568627451</v>
      </c>
      <c r="L440">
        <v>6.375</v>
      </c>
      <c r="M440">
        <v>284</v>
      </c>
      <c r="N440">
        <v>2</v>
      </c>
      <c r="O440">
        <v>3</v>
      </c>
      <c r="P440">
        <v>92</v>
      </c>
      <c r="Q440">
        <v>51</v>
      </c>
      <c r="R440">
        <v>8</v>
      </c>
      <c r="S440">
        <v>10</v>
      </c>
      <c r="T440">
        <v>413</v>
      </c>
      <c r="U440">
        <v>62</v>
      </c>
      <c r="V440">
        <v>2617</v>
      </c>
      <c r="W440">
        <v>97</v>
      </c>
    </row>
    <row r="441" spans="1:23" x14ac:dyDescent="0.2">
      <c r="A441" t="s">
        <v>599</v>
      </c>
      <c r="B441" t="s">
        <v>157</v>
      </c>
      <c r="C441">
        <v>4.6046092510223389</v>
      </c>
      <c r="D441">
        <v>223</v>
      </c>
      <c r="E441">
        <v>159</v>
      </c>
      <c r="F441">
        <v>7</v>
      </c>
      <c r="G441">
        <v>6</v>
      </c>
      <c r="H441">
        <v>5758.292682926829</v>
      </c>
      <c r="I441">
        <v>1</v>
      </c>
      <c r="J441">
        <v>1.4512195121951219</v>
      </c>
      <c r="K441">
        <v>1.4512195121951219</v>
      </c>
      <c r="L441">
        <v>13.66666666666667</v>
      </c>
      <c r="M441">
        <v>57031</v>
      </c>
      <c r="N441">
        <v>1</v>
      </c>
      <c r="O441">
        <v>2</v>
      </c>
      <c r="P441">
        <v>119</v>
      </c>
      <c r="Q441">
        <v>82</v>
      </c>
      <c r="R441">
        <v>6</v>
      </c>
      <c r="S441">
        <v>7</v>
      </c>
      <c r="T441">
        <v>455</v>
      </c>
      <c r="U441">
        <v>30</v>
      </c>
      <c r="V441">
        <v>472180</v>
      </c>
      <c r="W441">
        <v>119</v>
      </c>
    </row>
    <row r="442" spans="1:23" x14ac:dyDescent="0.2">
      <c r="A442" t="s">
        <v>600</v>
      </c>
      <c r="B442" t="s">
        <v>158</v>
      </c>
      <c r="C442" t="s">
        <v>159</v>
      </c>
      <c r="D442" t="s">
        <v>159</v>
      </c>
      <c r="E442" t="s">
        <v>159</v>
      </c>
      <c r="F442" t="s">
        <v>159</v>
      </c>
      <c r="G442" t="s">
        <v>159</v>
      </c>
      <c r="H442" t="s">
        <v>159</v>
      </c>
      <c r="I442" t="s">
        <v>159</v>
      </c>
      <c r="J442" t="s">
        <v>159</v>
      </c>
      <c r="K442" t="s">
        <v>159</v>
      </c>
      <c r="L442" t="s">
        <v>159</v>
      </c>
      <c r="M442" t="s">
        <v>159</v>
      </c>
      <c r="N442" t="s">
        <v>159</v>
      </c>
      <c r="O442" t="s">
        <v>159</v>
      </c>
      <c r="P442" t="s">
        <v>159</v>
      </c>
      <c r="Q442" t="s">
        <v>159</v>
      </c>
      <c r="R442" t="s">
        <v>159</v>
      </c>
      <c r="S442" t="s">
        <v>159</v>
      </c>
      <c r="T442" t="s">
        <v>159</v>
      </c>
      <c r="U442" t="s">
        <v>159</v>
      </c>
      <c r="V442" t="s">
        <v>159</v>
      </c>
      <c r="W442" t="s">
        <v>159</v>
      </c>
    </row>
    <row r="443" spans="1:23" x14ac:dyDescent="0.2">
      <c r="A443" t="s">
        <v>601</v>
      </c>
      <c r="B443" t="s">
        <v>157</v>
      </c>
      <c r="C443">
        <v>4.029404878616333</v>
      </c>
      <c r="D443">
        <v>221</v>
      </c>
      <c r="E443">
        <v>166</v>
      </c>
      <c r="F443">
        <v>8</v>
      </c>
      <c r="G443">
        <v>7</v>
      </c>
      <c r="H443">
        <v>0.6470588235294118</v>
      </c>
      <c r="I443">
        <v>1</v>
      </c>
      <c r="J443">
        <v>1.8235294117647061</v>
      </c>
      <c r="K443">
        <v>1.8235294117647061</v>
      </c>
      <c r="L443">
        <v>4.8571428571428568</v>
      </c>
      <c r="M443">
        <v>6</v>
      </c>
      <c r="N443">
        <v>1</v>
      </c>
      <c r="O443">
        <v>3</v>
      </c>
      <c r="P443">
        <v>62</v>
      </c>
      <c r="Q443">
        <v>34</v>
      </c>
      <c r="R443">
        <v>7</v>
      </c>
      <c r="S443">
        <v>8</v>
      </c>
      <c r="T443">
        <v>210</v>
      </c>
      <c r="U443">
        <v>38</v>
      </c>
      <c r="V443">
        <v>22</v>
      </c>
      <c r="W443">
        <v>62</v>
      </c>
    </row>
    <row r="444" spans="1:23" x14ac:dyDescent="0.2">
      <c r="A444" t="s">
        <v>602</v>
      </c>
      <c r="B444" t="s">
        <v>157</v>
      </c>
      <c r="C444">
        <v>2.3292839527130131</v>
      </c>
      <c r="D444">
        <v>256</v>
      </c>
      <c r="E444">
        <v>504</v>
      </c>
      <c r="F444">
        <v>11</v>
      </c>
      <c r="G444">
        <v>9</v>
      </c>
      <c r="H444">
        <v>2.7162162162162158</v>
      </c>
      <c r="I444">
        <v>1</v>
      </c>
      <c r="J444">
        <v>1.459459459459459</v>
      </c>
      <c r="K444">
        <v>1.459459459459459</v>
      </c>
      <c r="L444">
        <v>8.2222222222222214</v>
      </c>
      <c r="M444">
        <v>4</v>
      </c>
      <c r="N444">
        <v>1</v>
      </c>
      <c r="O444">
        <v>2</v>
      </c>
      <c r="P444">
        <v>108</v>
      </c>
      <c r="Q444">
        <v>74</v>
      </c>
      <c r="R444">
        <v>9</v>
      </c>
      <c r="S444">
        <v>11</v>
      </c>
      <c r="T444">
        <v>706</v>
      </c>
      <c r="U444">
        <v>83</v>
      </c>
      <c r="V444">
        <v>201</v>
      </c>
      <c r="W444">
        <v>108</v>
      </c>
    </row>
    <row r="445" spans="1:23" x14ac:dyDescent="0.2">
      <c r="A445" t="s">
        <v>603</v>
      </c>
      <c r="B445" t="s">
        <v>158</v>
      </c>
      <c r="C445" t="s">
        <v>159</v>
      </c>
      <c r="D445" t="s">
        <v>159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  <c r="J445" t="s">
        <v>159</v>
      </c>
      <c r="K445" t="s">
        <v>159</v>
      </c>
      <c r="L445" t="s">
        <v>159</v>
      </c>
      <c r="M445" t="s">
        <v>159</v>
      </c>
      <c r="N445" t="s">
        <v>159</v>
      </c>
      <c r="O445" t="s">
        <v>159</v>
      </c>
      <c r="P445" t="s">
        <v>159</v>
      </c>
      <c r="Q445" t="s">
        <v>159</v>
      </c>
      <c r="R445" t="s">
        <v>159</v>
      </c>
      <c r="S445" t="s">
        <v>159</v>
      </c>
      <c r="T445" t="s">
        <v>159</v>
      </c>
      <c r="U445" t="s">
        <v>159</v>
      </c>
      <c r="V445" t="s">
        <v>159</v>
      </c>
      <c r="W445" t="s">
        <v>159</v>
      </c>
    </row>
    <row r="446" spans="1:23" x14ac:dyDescent="0.2">
      <c r="A446" t="s">
        <v>604</v>
      </c>
      <c r="B446" t="s">
        <v>157</v>
      </c>
      <c r="C446">
        <v>116.1014838218689</v>
      </c>
      <c r="D446">
        <v>678</v>
      </c>
      <c r="E446">
        <v>1211</v>
      </c>
      <c r="F446">
        <v>9</v>
      </c>
      <c r="G446">
        <v>8</v>
      </c>
      <c r="H446">
        <v>0.67441860465116277</v>
      </c>
      <c r="I446">
        <v>1</v>
      </c>
      <c r="J446">
        <v>1.7906976744186049</v>
      </c>
      <c r="K446">
        <v>1.7906976744186049</v>
      </c>
      <c r="L446">
        <v>5.375</v>
      </c>
      <c r="M446">
        <v>7</v>
      </c>
      <c r="N446">
        <v>1</v>
      </c>
      <c r="O446">
        <v>3</v>
      </c>
      <c r="P446">
        <v>77</v>
      </c>
      <c r="Q446">
        <v>43</v>
      </c>
      <c r="R446">
        <v>8</v>
      </c>
      <c r="S446">
        <v>9</v>
      </c>
      <c r="T446">
        <v>310</v>
      </c>
      <c r="U446">
        <v>53</v>
      </c>
      <c r="V446">
        <v>29</v>
      </c>
      <c r="W446">
        <v>77</v>
      </c>
    </row>
    <row r="447" spans="1:23" x14ac:dyDescent="0.2">
      <c r="A447" t="s">
        <v>605</v>
      </c>
      <c r="B447" t="s">
        <v>157</v>
      </c>
      <c r="C447">
        <v>79.245001554489136</v>
      </c>
      <c r="D447">
        <v>831</v>
      </c>
      <c r="E447">
        <v>1104</v>
      </c>
      <c r="F447">
        <v>9</v>
      </c>
      <c r="G447">
        <v>8</v>
      </c>
      <c r="H447">
        <v>0.67441860465116277</v>
      </c>
      <c r="I447">
        <v>1</v>
      </c>
      <c r="J447">
        <v>1.930232558139535</v>
      </c>
      <c r="K447">
        <v>1.930232558139535</v>
      </c>
      <c r="L447">
        <v>5.375</v>
      </c>
      <c r="M447">
        <v>7</v>
      </c>
      <c r="N447">
        <v>1</v>
      </c>
      <c r="O447">
        <v>3</v>
      </c>
      <c r="P447">
        <v>83</v>
      </c>
      <c r="Q447">
        <v>43</v>
      </c>
      <c r="R447">
        <v>8</v>
      </c>
      <c r="S447">
        <v>9</v>
      </c>
      <c r="T447">
        <v>304</v>
      </c>
      <c r="U447">
        <v>51</v>
      </c>
      <c r="V447">
        <v>29</v>
      </c>
      <c r="W447">
        <v>83</v>
      </c>
    </row>
    <row r="448" spans="1:23" x14ac:dyDescent="0.2">
      <c r="A448" t="s">
        <v>606</v>
      </c>
      <c r="B448" t="s">
        <v>157</v>
      </c>
      <c r="C448">
        <v>11.339498519897459</v>
      </c>
      <c r="D448">
        <v>256</v>
      </c>
      <c r="E448">
        <v>3072</v>
      </c>
      <c r="F448">
        <v>8</v>
      </c>
      <c r="G448">
        <v>6</v>
      </c>
      <c r="H448">
        <v>0</v>
      </c>
      <c r="I448">
        <v>1.058139534883721</v>
      </c>
      <c r="J448">
        <v>2.84375</v>
      </c>
      <c r="K448">
        <v>2.6875</v>
      </c>
      <c r="L448">
        <v>5.333333333333333</v>
      </c>
      <c r="M448">
        <v>0</v>
      </c>
      <c r="N448">
        <v>6</v>
      </c>
      <c r="O448">
        <v>5</v>
      </c>
      <c r="P448">
        <v>86</v>
      </c>
      <c r="Q448">
        <v>32</v>
      </c>
      <c r="R448">
        <v>6</v>
      </c>
      <c r="S448">
        <v>13</v>
      </c>
      <c r="T448">
        <v>325</v>
      </c>
      <c r="U448">
        <v>57</v>
      </c>
      <c r="V448">
        <v>0</v>
      </c>
      <c r="W448">
        <v>91</v>
      </c>
    </row>
    <row r="449" spans="1:23" x14ac:dyDescent="0.2">
      <c r="A449" t="s">
        <v>607</v>
      </c>
      <c r="B449" t="s">
        <v>157</v>
      </c>
      <c r="C449">
        <v>31.789064407348629</v>
      </c>
      <c r="D449">
        <v>270</v>
      </c>
      <c r="E449">
        <v>399</v>
      </c>
      <c r="F449">
        <v>8</v>
      </c>
      <c r="G449">
        <v>7</v>
      </c>
      <c r="H449">
        <v>1.5106382978723401</v>
      </c>
      <c r="I449">
        <v>1.130434782608696</v>
      </c>
      <c r="J449">
        <v>1.6595744680851059</v>
      </c>
      <c r="K449">
        <v>1.468085106382979</v>
      </c>
      <c r="L449">
        <v>6.7142857142857144</v>
      </c>
      <c r="M449">
        <v>2</v>
      </c>
      <c r="N449">
        <v>2</v>
      </c>
      <c r="O449">
        <v>2</v>
      </c>
      <c r="P449">
        <v>69</v>
      </c>
      <c r="Q449">
        <v>47</v>
      </c>
      <c r="R449">
        <v>7</v>
      </c>
      <c r="S449">
        <v>15</v>
      </c>
      <c r="T449">
        <v>627</v>
      </c>
      <c r="U449">
        <v>92</v>
      </c>
      <c r="V449">
        <v>71</v>
      </c>
      <c r="W449">
        <v>78</v>
      </c>
    </row>
    <row r="450" spans="1:23" x14ac:dyDescent="0.2">
      <c r="A450" t="s">
        <v>608</v>
      </c>
      <c r="B450" t="s">
        <v>157</v>
      </c>
      <c r="C450">
        <v>15.562602043151861</v>
      </c>
      <c r="D450">
        <v>501</v>
      </c>
      <c r="E450">
        <v>364</v>
      </c>
      <c r="F450">
        <v>11</v>
      </c>
      <c r="G450">
        <v>10</v>
      </c>
      <c r="H450">
        <v>67.525000000000006</v>
      </c>
      <c r="I450">
        <v>1</v>
      </c>
      <c r="J450">
        <v>1.5249999999999999</v>
      </c>
      <c r="K450">
        <v>1.5249999999999999</v>
      </c>
      <c r="L450">
        <v>4</v>
      </c>
      <c r="M450">
        <v>595</v>
      </c>
      <c r="N450">
        <v>1</v>
      </c>
      <c r="O450">
        <v>2</v>
      </c>
      <c r="P450">
        <v>61</v>
      </c>
      <c r="Q450">
        <v>40</v>
      </c>
      <c r="R450">
        <v>10</v>
      </c>
      <c r="S450">
        <v>11</v>
      </c>
      <c r="T450">
        <v>379</v>
      </c>
      <c r="U450">
        <v>92</v>
      </c>
      <c r="V450">
        <v>2701</v>
      </c>
      <c r="W450">
        <v>61</v>
      </c>
    </row>
    <row r="451" spans="1:23" x14ac:dyDescent="0.2">
      <c r="A451" t="s">
        <v>609</v>
      </c>
      <c r="B451" t="s">
        <v>157</v>
      </c>
      <c r="C451">
        <v>691.72427725791931</v>
      </c>
      <c r="D451">
        <v>625</v>
      </c>
      <c r="E451">
        <v>4279</v>
      </c>
      <c r="F451">
        <v>7</v>
      </c>
      <c r="G451">
        <v>6</v>
      </c>
      <c r="H451">
        <v>6.25E-2</v>
      </c>
      <c r="I451">
        <v>0.98571428571428577</v>
      </c>
      <c r="J451">
        <v>2.15625</v>
      </c>
      <c r="K451">
        <v>2.1875</v>
      </c>
      <c r="L451">
        <v>5.333333333333333</v>
      </c>
      <c r="M451">
        <v>1</v>
      </c>
      <c r="N451">
        <v>1</v>
      </c>
      <c r="O451">
        <v>5</v>
      </c>
      <c r="P451">
        <v>70</v>
      </c>
      <c r="Q451">
        <v>32</v>
      </c>
      <c r="R451">
        <v>6</v>
      </c>
      <c r="S451">
        <v>6</v>
      </c>
      <c r="T451">
        <v>123</v>
      </c>
      <c r="U451">
        <v>19</v>
      </c>
      <c r="V451">
        <v>2</v>
      </c>
      <c r="W451">
        <v>69</v>
      </c>
    </row>
    <row r="452" spans="1:23" x14ac:dyDescent="0.2">
      <c r="A452" t="s">
        <v>610</v>
      </c>
      <c r="B452" t="s">
        <v>157</v>
      </c>
      <c r="C452">
        <v>195.80986571311951</v>
      </c>
      <c r="D452">
        <v>714</v>
      </c>
      <c r="E452">
        <v>1288</v>
      </c>
      <c r="F452">
        <v>9</v>
      </c>
      <c r="G452">
        <v>8</v>
      </c>
      <c r="H452">
        <v>1.5166666666666671</v>
      </c>
      <c r="I452">
        <v>1.122222222222222</v>
      </c>
      <c r="J452">
        <v>1.6833333333333329</v>
      </c>
      <c r="K452">
        <v>1.5</v>
      </c>
      <c r="L452">
        <v>7.5</v>
      </c>
      <c r="M452">
        <v>2</v>
      </c>
      <c r="N452">
        <v>2</v>
      </c>
      <c r="O452">
        <v>2</v>
      </c>
      <c r="P452">
        <v>90</v>
      </c>
      <c r="Q452">
        <v>60</v>
      </c>
      <c r="R452">
        <v>8</v>
      </c>
      <c r="S452">
        <v>17</v>
      </c>
      <c r="T452">
        <v>919</v>
      </c>
      <c r="U452">
        <v>121</v>
      </c>
      <c r="V452">
        <v>91</v>
      </c>
      <c r="W452">
        <v>101</v>
      </c>
    </row>
    <row r="453" spans="1:23" x14ac:dyDescent="0.2">
      <c r="A453" t="s">
        <v>611</v>
      </c>
      <c r="B453" t="s">
        <v>157</v>
      </c>
      <c r="C453">
        <v>425.61431169509888</v>
      </c>
      <c r="D453">
        <v>873</v>
      </c>
      <c r="E453">
        <v>22886</v>
      </c>
      <c r="F453">
        <v>7</v>
      </c>
      <c r="G453">
        <v>6</v>
      </c>
      <c r="H453">
        <v>7.1428571428571425E-2</v>
      </c>
      <c r="I453">
        <v>1.1818181818181821</v>
      </c>
      <c r="J453">
        <v>2.3214285714285721</v>
      </c>
      <c r="K453">
        <v>1.964285714285714</v>
      </c>
      <c r="L453">
        <v>4.666666666666667</v>
      </c>
      <c r="M453">
        <v>1</v>
      </c>
      <c r="N453">
        <v>5</v>
      </c>
      <c r="O453">
        <v>4</v>
      </c>
      <c r="P453">
        <v>55</v>
      </c>
      <c r="Q453">
        <v>28</v>
      </c>
      <c r="R453">
        <v>6</v>
      </c>
      <c r="S453">
        <v>11</v>
      </c>
      <c r="T453">
        <v>243</v>
      </c>
      <c r="U453">
        <v>47</v>
      </c>
      <c r="V453">
        <v>2</v>
      </c>
      <c r="W453">
        <v>65</v>
      </c>
    </row>
    <row r="454" spans="1:23" x14ac:dyDescent="0.2">
      <c r="A454" t="s">
        <v>612</v>
      </c>
      <c r="B454" t="s">
        <v>157</v>
      </c>
      <c r="C454">
        <v>4.8427784442901611</v>
      </c>
      <c r="D454">
        <v>599</v>
      </c>
      <c r="E454">
        <v>1104</v>
      </c>
      <c r="F454">
        <v>9</v>
      </c>
      <c r="G454">
        <v>8</v>
      </c>
      <c r="H454">
        <v>0.65116279069767447</v>
      </c>
      <c r="I454">
        <v>1</v>
      </c>
      <c r="J454">
        <v>1.441860465116279</v>
      </c>
      <c r="K454">
        <v>1.441860465116279</v>
      </c>
      <c r="L454">
        <v>5.375</v>
      </c>
      <c r="M454">
        <v>7</v>
      </c>
      <c r="N454">
        <v>1</v>
      </c>
      <c r="O454">
        <v>2</v>
      </c>
      <c r="P454">
        <v>62</v>
      </c>
      <c r="Q454">
        <v>43</v>
      </c>
      <c r="R454">
        <v>8</v>
      </c>
      <c r="S454">
        <v>9</v>
      </c>
      <c r="T454">
        <v>325</v>
      </c>
      <c r="U454">
        <v>58</v>
      </c>
      <c r="V454">
        <v>28</v>
      </c>
      <c r="W454">
        <v>62</v>
      </c>
    </row>
    <row r="455" spans="1:23" x14ac:dyDescent="0.2">
      <c r="A455" t="s">
        <v>613</v>
      </c>
      <c r="B455" t="s">
        <v>157</v>
      </c>
      <c r="C455">
        <v>76.226398944854736</v>
      </c>
      <c r="D455">
        <v>812</v>
      </c>
      <c r="E455">
        <v>974</v>
      </c>
      <c r="F455">
        <v>9</v>
      </c>
      <c r="G455">
        <v>8</v>
      </c>
      <c r="H455">
        <v>0.67441860465116277</v>
      </c>
      <c r="I455">
        <v>1</v>
      </c>
      <c r="J455">
        <v>1.930232558139535</v>
      </c>
      <c r="K455">
        <v>1.930232558139535</v>
      </c>
      <c r="L455">
        <v>5.375</v>
      </c>
      <c r="M455">
        <v>7</v>
      </c>
      <c r="N455">
        <v>1</v>
      </c>
      <c r="O455">
        <v>3</v>
      </c>
      <c r="P455">
        <v>83</v>
      </c>
      <c r="Q455">
        <v>43</v>
      </c>
      <c r="R455">
        <v>8</v>
      </c>
      <c r="S455">
        <v>9</v>
      </c>
      <c r="T455">
        <v>304</v>
      </c>
      <c r="U455">
        <v>51</v>
      </c>
      <c r="V455">
        <v>29</v>
      </c>
      <c r="W455">
        <v>83</v>
      </c>
    </row>
    <row r="456" spans="1:23" x14ac:dyDescent="0.2">
      <c r="A456" t="s">
        <v>614</v>
      </c>
      <c r="B456" t="s">
        <v>157</v>
      </c>
      <c r="C456">
        <v>5.7924735546112061</v>
      </c>
      <c r="D456">
        <v>7673</v>
      </c>
      <c r="E456">
        <v>11389</v>
      </c>
      <c r="F456">
        <v>17</v>
      </c>
      <c r="G456">
        <v>16</v>
      </c>
      <c r="H456">
        <v>0</v>
      </c>
      <c r="I456">
        <v>1.032520325203252</v>
      </c>
      <c r="J456">
        <v>1.984375</v>
      </c>
      <c r="K456">
        <v>1.921875</v>
      </c>
      <c r="L456">
        <v>4</v>
      </c>
      <c r="M456">
        <v>0</v>
      </c>
      <c r="N456">
        <v>2</v>
      </c>
      <c r="O456">
        <v>2</v>
      </c>
      <c r="P456">
        <v>123</v>
      </c>
      <c r="Q456">
        <v>64</v>
      </c>
      <c r="R456">
        <v>16</v>
      </c>
      <c r="S456">
        <v>21</v>
      </c>
      <c r="T456">
        <v>1217</v>
      </c>
      <c r="U456">
        <v>304</v>
      </c>
      <c r="V456">
        <v>0</v>
      </c>
      <c r="W456">
        <v>127</v>
      </c>
    </row>
    <row r="457" spans="1:23" x14ac:dyDescent="0.2">
      <c r="A457" t="s">
        <v>615</v>
      </c>
      <c r="B457" t="s">
        <v>157</v>
      </c>
      <c r="C457">
        <v>1004.072857379913</v>
      </c>
      <c r="D457">
        <v>2294</v>
      </c>
      <c r="E457">
        <v>2930</v>
      </c>
      <c r="F457">
        <v>10</v>
      </c>
      <c r="G457">
        <v>9</v>
      </c>
      <c r="H457">
        <v>0.69811320754716977</v>
      </c>
      <c r="I457">
        <v>1</v>
      </c>
      <c r="J457">
        <v>2.0188679245283021</v>
      </c>
      <c r="K457">
        <v>2.0188679245283021</v>
      </c>
      <c r="L457">
        <v>5.8888888888888893</v>
      </c>
      <c r="M457">
        <v>8</v>
      </c>
      <c r="N457">
        <v>1</v>
      </c>
      <c r="O457">
        <v>3</v>
      </c>
      <c r="P457">
        <v>107</v>
      </c>
      <c r="Q457">
        <v>53</v>
      </c>
      <c r="R457">
        <v>9</v>
      </c>
      <c r="S457">
        <v>10</v>
      </c>
      <c r="T457">
        <v>423</v>
      </c>
      <c r="U457">
        <v>66</v>
      </c>
      <c r="V457">
        <v>37</v>
      </c>
      <c r="W457">
        <v>107</v>
      </c>
    </row>
    <row r="458" spans="1:23" x14ac:dyDescent="0.2">
      <c r="A458" t="s">
        <v>616</v>
      </c>
      <c r="B458" t="s">
        <v>157</v>
      </c>
      <c r="C458">
        <v>15.61597514152527</v>
      </c>
      <c r="D458">
        <v>15160</v>
      </c>
      <c r="E458">
        <v>30426</v>
      </c>
      <c r="F458">
        <v>17</v>
      </c>
      <c r="G458">
        <v>16</v>
      </c>
      <c r="H458">
        <v>0</v>
      </c>
      <c r="I458">
        <v>1.032520325203252</v>
      </c>
      <c r="J458">
        <v>1.984375</v>
      </c>
      <c r="K458">
        <v>1.921875</v>
      </c>
      <c r="L458">
        <v>4</v>
      </c>
      <c r="M458">
        <v>0</v>
      </c>
      <c r="N458">
        <v>2</v>
      </c>
      <c r="O458">
        <v>2</v>
      </c>
      <c r="P458">
        <v>123</v>
      </c>
      <c r="Q458">
        <v>64</v>
      </c>
      <c r="R458">
        <v>16</v>
      </c>
      <c r="S458">
        <v>21</v>
      </c>
      <c r="T458">
        <v>1217</v>
      </c>
      <c r="U458">
        <v>304</v>
      </c>
      <c r="V458">
        <v>0</v>
      </c>
      <c r="W458">
        <v>127</v>
      </c>
    </row>
    <row r="459" spans="1:23" x14ac:dyDescent="0.2">
      <c r="A459" t="s">
        <v>617</v>
      </c>
      <c r="B459" t="s">
        <v>157</v>
      </c>
      <c r="C459">
        <v>37.286764621734619</v>
      </c>
      <c r="D459">
        <v>411</v>
      </c>
      <c r="E459">
        <v>836</v>
      </c>
      <c r="F459">
        <v>9</v>
      </c>
      <c r="G459">
        <v>8</v>
      </c>
      <c r="H459">
        <v>45.627450980392148</v>
      </c>
      <c r="I459">
        <v>1.056179775280899</v>
      </c>
      <c r="J459">
        <v>1.8431372549019609</v>
      </c>
      <c r="K459">
        <v>1.7450980392156861</v>
      </c>
      <c r="L459">
        <v>6.375</v>
      </c>
      <c r="M459">
        <v>260</v>
      </c>
      <c r="N459">
        <v>2</v>
      </c>
      <c r="O459">
        <v>3</v>
      </c>
      <c r="P459">
        <v>89</v>
      </c>
      <c r="Q459">
        <v>51</v>
      </c>
      <c r="R459">
        <v>8</v>
      </c>
      <c r="S459">
        <v>10</v>
      </c>
      <c r="T459">
        <v>416</v>
      </c>
      <c r="U459">
        <v>63</v>
      </c>
      <c r="V459">
        <v>2327</v>
      </c>
      <c r="W459">
        <v>94</v>
      </c>
    </row>
    <row r="460" spans="1:23" x14ac:dyDescent="0.2">
      <c r="A460" t="s">
        <v>618</v>
      </c>
      <c r="B460" t="s">
        <v>157</v>
      </c>
      <c r="C460">
        <v>541.22944569587708</v>
      </c>
      <c r="D460">
        <v>1215</v>
      </c>
      <c r="E460">
        <v>1609</v>
      </c>
      <c r="F460">
        <v>11</v>
      </c>
      <c r="G460">
        <v>10</v>
      </c>
      <c r="H460">
        <v>150.72499999999999</v>
      </c>
      <c r="I460">
        <v>1</v>
      </c>
      <c r="J460">
        <v>1.5249999999999999</v>
      </c>
      <c r="K460">
        <v>1.5249999999999999</v>
      </c>
      <c r="L460">
        <v>4</v>
      </c>
      <c r="M460">
        <v>855</v>
      </c>
      <c r="N460">
        <v>1</v>
      </c>
      <c r="O460">
        <v>2</v>
      </c>
      <c r="P460">
        <v>61</v>
      </c>
      <c r="Q460">
        <v>40</v>
      </c>
      <c r="R460">
        <v>10</v>
      </c>
      <c r="S460">
        <v>11</v>
      </c>
      <c r="T460">
        <v>379</v>
      </c>
      <c r="U460">
        <v>92</v>
      </c>
      <c r="V460">
        <v>6029</v>
      </c>
      <c r="W460">
        <v>61</v>
      </c>
    </row>
    <row r="461" spans="1:23" x14ac:dyDescent="0.2">
      <c r="A461" t="s">
        <v>619</v>
      </c>
      <c r="B461" t="s">
        <v>157</v>
      </c>
      <c r="C461">
        <v>4633.5576183795929</v>
      </c>
      <c r="D461">
        <v>5397</v>
      </c>
      <c r="E461">
        <v>19480</v>
      </c>
      <c r="F461">
        <v>13</v>
      </c>
      <c r="G461">
        <v>12</v>
      </c>
      <c r="H461">
        <v>5375.391304347826</v>
      </c>
      <c r="I461">
        <v>1.2068965517241379</v>
      </c>
      <c r="J461">
        <v>1.5217391304347829</v>
      </c>
      <c r="K461">
        <v>1.2608695652173909</v>
      </c>
      <c r="L461">
        <v>3.833333333333333</v>
      </c>
      <c r="M461">
        <v>39701</v>
      </c>
      <c r="N461">
        <v>2</v>
      </c>
      <c r="O461">
        <v>3</v>
      </c>
      <c r="P461">
        <v>58</v>
      </c>
      <c r="Q461">
        <v>46</v>
      </c>
      <c r="R461">
        <v>12</v>
      </c>
      <c r="S461">
        <v>25</v>
      </c>
      <c r="T461">
        <v>1080</v>
      </c>
      <c r="U461">
        <v>275</v>
      </c>
      <c r="V461">
        <v>247268</v>
      </c>
      <c r="W461">
        <v>70</v>
      </c>
    </row>
    <row r="462" spans="1:23" x14ac:dyDescent="0.2">
      <c r="A462" t="s">
        <v>620</v>
      </c>
      <c r="B462" t="s">
        <v>157</v>
      </c>
      <c r="C462">
        <v>7.0811102390289307</v>
      </c>
      <c r="D462">
        <v>265</v>
      </c>
      <c r="E462">
        <v>447</v>
      </c>
      <c r="F462">
        <v>11</v>
      </c>
      <c r="G462">
        <v>9</v>
      </c>
      <c r="H462">
        <v>2.7162162162162158</v>
      </c>
      <c r="I462">
        <v>1</v>
      </c>
      <c r="J462">
        <v>1.459459459459459</v>
      </c>
      <c r="K462">
        <v>1.459459459459459</v>
      </c>
      <c r="L462">
        <v>8.2222222222222214</v>
      </c>
      <c r="M462">
        <v>4</v>
      </c>
      <c r="N462">
        <v>1</v>
      </c>
      <c r="O462">
        <v>2</v>
      </c>
      <c r="P462">
        <v>108</v>
      </c>
      <c r="Q462">
        <v>74</v>
      </c>
      <c r="R462">
        <v>9</v>
      </c>
      <c r="S462">
        <v>11</v>
      </c>
      <c r="T462">
        <v>706</v>
      </c>
      <c r="U462">
        <v>83</v>
      </c>
      <c r="V462">
        <v>201</v>
      </c>
      <c r="W462">
        <v>108</v>
      </c>
    </row>
    <row r="463" spans="1:23" x14ac:dyDescent="0.2">
      <c r="A463" t="s">
        <v>621</v>
      </c>
      <c r="B463" t="s">
        <v>157</v>
      </c>
      <c r="C463">
        <v>1027.879582166672</v>
      </c>
      <c r="D463">
        <v>1875</v>
      </c>
      <c r="E463">
        <v>3956</v>
      </c>
      <c r="F463">
        <v>10</v>
      </c>
      <c r="G463">
        <v>9</v>
      </c>
      <c r="H463">
        <v>0.67924528301886788</v>
      </c>
      <c r="I463">
        <v>1</v>
      </c>
      <c r="J463">
        <v>1.4905660377358489</v>
      </c>
      <c r="K463">
        <v>1.4905660377358489</v>
      </c>
      <c r="L463">
        <v>5.8888888888888893</v>
      </c>
      <c r="M463">
        <v>8</v>
      </c>
      <c r="N463">
        <v>1</v>
      </c>
      <c r="O463">
        <v>2</v>
      </c>
      <c r="P463">
        <v>79</v>
      </c>
      <c r="Q463">
        <v>53</v>
      </c>
      <c r="R463">
        <v>9</v>
      </c>
      <c r="S463">
        <v>10</v>
      </c>
      <c r="T463">
        <v>451</v>
      </c>
      <c r="U463">
        <v>74</v>
      </c>
      <c r="V463">
        <v>36</v>
      </c>
      <c r="W463">
        <v>79</v>
      </c>
    </row>
    <row r="464" spans="1:23" x14ac:dyDescent="0.2">
      <c r="A464" t="s">
        <v>622</v>
      </c>
      <c r="B464" t="s">
        <v>157</v>
      </c>
      <c r="C464">
        <v>45.579905033111572</v>
      </c>
      <c r="D464">
        <v>25807</v>
      </c>
      <c r="E464">
        <v>74073</v>
      </c>
      <c r="F464">
        <v>17</v>
      </c>
      <c r="G464">
        <v>16</v>
      </c>
      <c r="H464">
        <v>0</v>
      </c>
      <c r="I464">
        <v>1.032520325203252</v>
      </c>
      <c r="J464">
        <v>1.984375</v>
      </c>
      <c r="K464">
        <v>1.921875</v>
      </c>
      <c r="L464">
        <v>4</v>
      </c>
      <c r="M464">
        <v>0</v>
      </c>
      <c r="N464">
        <v>2</v>
      </c>
      <c r="O464">
        <v>2</v>
      </c>
      <c r="P464">
        <v>123</v>
      </c>
      <c r="Q464">
        <v>64</v>
      </c>
      <c r="R464">
        <v>16</v>
      </c>
      <c r="S464">
        <v>21</v>
      </c>
      <c r="T464">
        <v>1217</v>
      </c>
      <c r="U464">
        <v>304</v>
      </c>
      <c r="V464">
        <v>0</v>
      </c>
      <c r="W464">
        <v>127</v>
      </c>
    </row>
    <row r="465" spans="1:23" x14ac:dyDescent="0.2">
      <c r="A465" t="s">
        <v>623</v>
      </c>
      <c r="B465" t="s">
        <v>157</v>
      </c>
      <c r="C465">
        <v>73.176884412765503</v>
      </c>
      <c r="D465">
        <v>32</v>
      </c>
      <c r="E465">
        <v>3153</v>
      </c>
      <c r="F465">
        <v>4</v>
      </c>
      <c r="G465">
        <v>4</v>
      </c>
      <c r="H465">
        <v>131451.5384615385</v>
      </c>
      <c r="I465">
        <v>1.601769911504425</v>
      </c>
      <c r="J465">
        <v>3.4807692307692308</v>
      </c>
      <c r="K465">
        <v>2.1730769230769229</v>
      </c>
      <c r="L465">
        <v>13</v>
      </c>
      <c r="M465">
        <v>2985984</v>
      </c>
      <c r="N465">
        <v>3</v>
      </c>
      <c r="O465">
        <v>3</v>
      </c>
      <c r="P465">
        <v>113</v>
      </c>
      <c r="Q465">
        <v>52</v>
      </c>
      <c r="R465">
        <v>4</v>
      </c>
      <c r="S465">
        <v>12</v>
      </c>
      <c r="T465">
        <v>443</v>
      </c>
      <c r="U465">
        <v>26</v>
      </c>
      <c r="V465">
        <v>6835480</v>
      </c>
      <c r="W465">
        <v>181</v>
      </c>
    </row>
    <row r="466" spans="1:23" x14ac:dyDescent="0.2">
      <c r="A466" t="s">
        <v>624</v>
      </c>
      <c r="B466" t="s">
        <v>158</v>
      </c>
      <c r="C466" t="s">
        <v>159</v>
      </c>
      <c r="D466" t="s">
        <v>159</v>
      </c>
      <c r="E466" t="s">
        <v>159</v>
      </c>
      <c r="F466" t="s">
        <v>159</v>
      </c>
      <c r="G466" t="s">
        <v>159</v>
      </c>
      <c r="H466" t="s">
        <v>159</v>
      </c>
      <c r="I466" t="s">
        <v>159</v>
      </c>
      <c r="J466" t="s">
        <v>159</v>
      </c>
      <c r="K466" t="s">
        <v>159</v>
      </c>
      <c r="L466" t="s">
        <v>159</v>
      </c>
      <c r="M466" t="s">
        <v>159</v>
      </c>
      <c r="N466" t="s">
        <v>159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</row>
    <row r="467" spans="1:23" x14ac:dyDescent="0.2">
      <c r="A467" t="s">
        <v>625</v>
      </c>
      <c r="B467" t="s">
        <v>157</v>
      </c>
      <c r="C467">
        <v>151.48546266555789</v>
      </c>
      <c r="D467">
        <v>941</v>
      </c>
      <c r="E467">
        <v>1229</v>
      </c>
      <c r="F467">
        <v>9</v>
      </c>
      <c r="G467">
        <v>8</v>
      </c>
      <c r="H467">
        <v>0.67441860465116277</v>
      </c>
      <c r="I467">
        <v>1</v>
      </c>
      <c r="J467">
        <v>1.930232558139535</v>
      </c>
      <c r="K467">
        <v>1.930232558139535</v>
      </c>
      <c r="L467">
        <v>5.375</v>
      </c>
      <c r="M467">
        <v>7</v>
      </c>
      <c r="N467">
        <v>1</v>
      </c>
      <c r="O467">
        <v>3</v>
      </c>
      <c r="P467">
        <v>83</v>
      </c>
      <c r="Q467">
        <v>43</v>
      </c>
      <c r="R467">
        <v>8</v>
      </c>
      <c r="S467">
        <v>9</v>
      </c>
      <c r="T467">
        <v>304</v>
      </c>
      <c r="U467">
        <v>51</v>
      </c>
      <c r="V467">
        <v>29</v>
      </c>
      <c r="W467">
        <v>83</v>
      </c>
    </row>
    <row r="468" spans="1:23" x14ac:dyDescent="0.2">
      <c r="A468" t="s">
        <v>626</v>
      </c>
      <c r="B468" t="s">
        <v>157</v>
      </c>
      <c r="C468">
        <v>0.20934438705444339</v>
      </c>
      <c r="D468">
        <v>68</v>
      </c>
      <c r="E468">
        <v>47</v>
      </c>
      <c r="F468">
        <v>11</v>
      </c>
      <c r="G468">
        <v>9</v>
      </c>
      <c r="H468">
        <v>2.8243243243243241</v>
      </c>
      <c r="I468">
        <v>1</v>
      </c>
      <c r="J468">
        <v>1.472972972972973</v>
      </c>
      <c r="K468">
        <v>1.472972972972973</v>
      </c>
      <c r="L468">
        <v>8.2222222222222214</v>
      </c>
      <c r="M468">
        <v>4</v>
      </c>
      <c r="N468">
        <v>1</v>
      </c>
      <c r="O468">
        <v>2</v>
      </c>
      <c r="P468">
        <v>109</v>
      </c>
      <c r="Q468">
        <v>74</v>
      </c>
      <c r="R468">
        <v>9</v>
      </c>
      <c r="S468">
        <v>11</v>
      </c>
      <c r="T468">
        <v>705</v>
      </c>
      <c r="U468">
        <v>84</v>
      </c>
      <c r="V468">
        <v>209</v>
      </c>
      <c r="W468">
        <v>109</v>
      </c>
    </row>
    <row r="469" spans="1:23" x14ac:dyDescent="0.2">
      <c r="A469" t="s">
        <v>627</v>
      </c>
      <c r="B469" t="s">
        <v>157</v>
      </c>
      <c r="C469">
        <v>199.530675649643</v>
      </c>
      <c r="D469">
        <v>714</v>
      </c>
      <c r="E469">
        <v>1292</v>
      </c>
      <c r="F469">
        <v>9</v>
      </c>
      <c r="G469">
        <v>8</v>
      </c>
      <c r="H469">
        <v>1.55</v>
      </c>
      <c r="I469">
        <v>1.1208791208791209</v>
      </c>
      <c r="J469">
        <v>1.7</v>
      </c>
      <c r="K469">
        <v>1.5166666666666671</v>
      </c>
      <c r="L469">
        <v>7.5</v>
      </c>
      <c r="M469">
        <v>2</v>
      </c>
      <c r="N469">
        <v>2</v>
      </c>
      <c r="O469">
        <v>2</v>
      </c>
      <c r="P469">
        <v>91</v>
      </c>
      <c r="Q469">
        <v>60</v>
      </c>
      <c r="R469">
        <v>8</v>
      </c>
      <c r="S469">
        <v>17</v>
      </c>
      <c r="T469">
        <v>918</v>
      </c>
      <c r="U469">
        <v>121</v>
      </c>
      <c r="V469">
        <v>93</v>
      </c>
      <c r="W469">
        <v>102</v>
      </c>
    </row>
    <row r="470" spans="1:23" x14ac:dyDescent="0.2">
      <c r="A470" t="s">
        <v>628</v>
      </c>
      <c r="B470" t="s">
        <v>158</v>
      </c>
      <c r="C470" t="s">
        <v>159</v>
      </c>
      <c r="D470" t="s">
        <v>159</v>
      </c>
      <c r="E470" t="s">
        <v>159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  <c r="S470" t="s">
        <v>159</v>
      </c>
      <c r="T470" t="s">
        <v>159</v>
      </c>
      <c r="U470" t="s">
        <v>159</v>
      </c>
      <c r="V470" t="s">
        <v>159</v>
      </c>
      <c r="W470" t="s">
        <v>159</v>
      </c>
    </row>
    <row r="471" spans="1:23" x14ac:dyDescent="0.2">
      <c r="A471" t="s">
        <v>629</v>
      </c>
      <c r="B471" t="s">
        <v>157</v>
      </c>
      <c r="C471">
        <v>6.0444843769073486</v>
      </c>
      <c r="D471">
        <v>125</v>
      </c>
      <c r="E471">
        <v>693</v>
      </c>
      <c r="F471">
        <v>8</v>
      </c>
      <c r="G471">
        <v>6</v>
      </c>
      <c r="H471">
        <v>0</v>
      </c>
      <c r="I471">
        <v>1.056179775280899</v>
      </c>
      <c r="J471">
        <v>2.9375</v>
      </c>
      <c r="K471">
        <v>2.78125</v>
      </c>
      <c r="L471">
        <v>5.333333333333333</v>
      </c>
      <c r="M471">
        <v>0</v>
      </c>
      <c r="N471">
        <v>6</v>
      </c>
      <c r="O471">
        <v>5</v>
      </c>
      <c r="P471">
        <v>89</v>
      </c>
      <c r="Q471">
        <v>32</v>
      </c>
      <c r="R471">
        <v>6</v>
      </c>
      <c r="S471">
        <v>13</v>
      </c>
      <c r="T471">
        <v>322</v>
      </c>
      <c r="U471">
        <v>57</v>
      </c>
      <c r="V471">
        <v>0</v>
      </c>
      <c r="W471">
        <v>94</v>
      </c>
    </row>
    <row r="472" spans="1:23" x14ac:dyDescent="0.2">
      <c r="A472" t="s">
        <v>630</v>
      </c>
      <c r="B472" t="s">
        <v>157</v>
      </c>
      <c r="C472">
        <v>0.12992286682128909</v>
      </c>
      <c r="D472">
        <v>59</v>
      </c>
      <c r="E472">
        <v>43</v>
      </c>
      <c r="F472">
        <v>11</v>
      </c>
      <c r="G472">
        <v>9</v>
      </c>
      <c r="H472">
        <v>2.8243243243243241</v>
      </c>
      <c r="I472">
        <v>1</v>
      </c>
      <c r="J472">
        <v>1.472972972972973</v>
      </c>
      <c r="K472">
        <v>1.472972972972973</v>
      </c>
      <c r="L472">
        <v>8.2222222222222214</v>
      </c>
      <c r="M472">
        <v>4</v>
      </c>
      <c r="N472">
        <v>1</v>
      </c>
      <c r="O472">
        <v>2</v>
      </c>
      <c r="P472">
        <v>109</v>
      </c>
      <c r="Q472">
        <v>74</v>
      </c>
      <c r="R472">
        <v>9</v>
      </c>
      <c r="S472">
        <v>11</v>
      </c>
      <c r="T472">
        <v>705</v>
      </c>
      <c r="U472">
        <v>84</v>
      </c>
      <c r="V472">
        <v>209</v>
      </c>
      <c r="W472">
        <v>109</v>
      </c>
    </row>
    <row r="473" spans="1:23" x14ac:dyDescent="0.2">
      <c r="A473" t="s">
        <v>631</v>
      </c>
      <c r="B473" t="s">
        <v>157</v>
      </c>
      <c r="C473">
        <v>4950.8639750480652</v>
      </c>
      <c r="D473">
        <v>3609</v>
      </c>
      <c r="E473">
        <v>4150</v>
      </c>
      <c r="F473">
        <v>13</v>
      </c>
      <c r="G473">
        <v>12</v>
      </c>
      <c r="H473">
        <v>5375.391304347826</v>
      </c>
      <c r="I473">
        <v>1.2068965517241379</v>
      </c>
      <c r="J473">
        <v>1.5217391304347829</v>
      </c>
      <c r="K473">
        <v>1.2608695652173909</v>
      </c>
      <c r="L473">
        <v>3.833333333333333</v>
      </c>
      <c r="M473">
        <v>39701</v>
      </c>
      <c r="N473">
        <v>2</v>
      </c>
      <c r="O473">
        <v>3</v>
      </c>
      <c r="P473">
        <v>58</v>
      </c>
      <c r="Q473">
        <v>46</v>
      </c>
      <c r="R473">
        <v>12</v>
      </c>
      <c r="S473">
        <v>25</v>
      </c>
      <c r="T473">
        <v>1080</v>
      </c>
      <c r="U473">
        <v>275</v>
      </c>
      <c r="V473">
        <v>247268</v>
      </c>
      <c r="W473">
        <v>70</v>
      </c>
    </row>
    <row r="474" spans="1:23" x14ac:dyDescent="0.2">
      <c r="A474" t="s">
        <v>632</v>
      </c>
      <c r="B474" t="s">
        <v>157</v>
      </c>
      <c r="C474">
        <v>766.51570701599121</v>
      </c>
      <c r="D474">
        <v>1171</v>
      </c>
      <c r="E474">
        <v>26151</v>
      </c>
      <c r="F474">
        <v>7</v>
      </c>
      <c r="G474">
        <v>6</v>
      </c>
      <c r="H474">
        <v>3.125E-2</v>
      </c>
      <c r="I474">
        <v>1</v>
      </c>
      <c r="J474">
        <v>2.65625</v>
      </c>
      <c r="K474">
        <v>2.65625</v>
      </c>
      <c r="L474">
        <v>5.333333333333333</v>
      </c>
      <c r="M474">
        <v>1</v>
      </c>
      <c r="N474">
        <v>1</v>
      </c>
      <c r="O474">
        <v>5</v>
      </c>
      <c r="P474">
        <v>85</v>
      </c>
      <c r="Q474">
        <v>32</v>
      </c>
      <c r="R474">
        <v>6</v>
      </c>
      <c r="S474">
        <v>7</v>
      </c>
      <c r="T474">
        <v>139</v>
      </c>
      <c r="U474">
        <v>22</v>
      </c>
      <c r="V474">
        <v>1</v>
      </c>
      <c r="W474">
        <v>85</v>
      </c>
    </row>
    <row r="475" spans="1:23" x14ac:dyDescent="0.2">
      <c r="A475" t="s">
        <v>633</v>
      </c>
      <c r="B475" t="s">
        <v>157</v>
      </c>
      <c r="C475">
        <v>6.6014814376831046</v>
      </c>
      <c r="D475">
        <v>625</v>
      </c>
      <c r="E475">
        <v>1191</v>
      </c>
      <c r="F475">
        <v>9</v>
      </c>
      <c r="G475">
        <v>8</v>
      </c>
      <c r="H475">
        <v>0.65116279069767447</v>
      </c>
      <c r="I475">
        <v>1</v>
      </c>
      <c r="J475">
        <v>1.441860465116279</v>
      </c>
      <c r="K475">
        <v>1.441860465116279</v>
      </c>
      <c r="L475">
        <v>5.375</v>
      </c>
      <c r="M475">
        <v>7</v>
      </c>
      <c r="N475">
        <v>1</v>
      </c>
      <c r="O475">
        <v>2</v>
      </c>
      <c r="P475">
        <v>62</v>
      </c>
      <c r="Q475">
        <v>43</v>
      </c>
      <c r="R475">
        <v>8</v>
      </c>
      <c r="S475">
        <v>9</v>
      </c>
      <c r="T475">
        <v>325</v>
      </c>
      <c r="U475">
        <v>58</v>
      </c>
      <c r="V475">
        <v>28</v>
      </c>
      <c r="W475">
        <v>62</v>
      </c>
    </row>
    <row r="476" spans="1:23" x14ac:dyDescent="0.2">
      <c r="A476" t="s">
        <v>634</v>
      </c>
      <c r="B476" t="s">
        <v>157</v>
      </c>
      <c r="C476">
        <v>209.52959227561951</v>
      </c>
      <c r="D476">
        <v>361</v>
      </c>
      <c r="E476">
        <v>2679</v>
      </c>
      <c r="F476">
        <v>6</v>
      </c>
      <c r="G476">
        <v>5</v>
      </c>
      <c r="H476">
        <v>2.034782608695652</v>
      </c>
      <c r="I476">
        <v>1.6647398843930641</v>
      </c>
      <c r="J476">
        <v>2.5043478260869572</v>
      </c>
      <c r="K476">
        <v>1.5043478260869561</v>
      </c>
      <c r="L476">
        <v>23</v>
      </c>
      <c r="M476">
        <v>6</v>
      </c>
      <c r="N476">
        <v>3</v>
      </c>
      <c r="O476">
        <v>2</v>
      </c>
      <c r="P476">
        <v>173</v>
      </c>
      <c r="Q476">
        <v>115</v>
      </c>
      <c r="R476">
        <v>5</v>
      </c>
      <c r="S476">
        <v>16</v>
      </c>
      <c r="T476">
        <v>1552</v>
      </c>
      <c r="U476">
        <v>65</v>
      </c>
      <c r="V476">
        <v>234</v>
      </c>
      <c r="W476">
        <v>288</v>
      </c>
    </row>
    <row r="477" spans="1:23" x14ac:dyDescent="0.2">
      <c r="A477" t="s">
        <v>635</v>
      </c>
      <c r="B477" t="s">
        <v>157</v>
      </c>
      <c r="C477">
        <v>86.983919382095337</v>
      </c>
      <c r="D477">
        <v>117</v>
      </c>
      <c r="E477">
        <v>7934</v>
      </c>
      <c r="F477">
        <v>7</v>
      </c>
      <c r="G477">
        <v>4</v>
      </c>
      <c r="H477">
        <v>9</v>
      </c>
      <c r="I477">
        <v>1.142857142857143</v>
      </c>
      <c r="J477">
        <v>4</v>
      </c>
      <c r="K477">
        <v>3.5</v>
      </c>
      <c r="L477">
        <v>24</v>
      </c>
      <c r="M477">
        <v>24</v>
      </c>
      <c r="N477">
        <v>2</v>
      </c>
      <c r="O477">
        <v>5</v>
      </c>
      <c r="P477">
        <v>336</v>
      </c>
      <c r="Q477">
        <v>96</v>
      </c>
      <c r="R477">
        <v>4</v>
      </c>
      <c r="S477">
        <v>11</v>
      </c>
      <c r="T477">
        <v>672</v>
      </c>
      <c r="U477">
        <v>20</v>
      </c>
      <c r="V477">
        <v>864</v>
      </c>
      <c r="W477">
        <v>384</v>
      </c>
    </row>
    <row r="478" spans="1:23" x14ac:dyDescent="0.2">
      <c r="A478" t="s">
        <v>636</v>
      </c>
      <c r="B478" t="s">
        <v>157</v>
      </c>
      <c r="C478">
        <v>6645.6175708770752</v>
      </c>
      <c r="D478">
        <v>6136</v>
      </c>
      <c r="E478">
        <v>13570</v>
      </c>
      <c r="F478">
        <v>10</v>
      </c>
      <c r="G478">
        <v>9</v>
      </c>
      <c r="H478">
        <v>0.69811320754716977</v>
      </c>
      <c r="I478">
        <v>1</v>
      </c>
      <c r="J478">
        <v>1.8867924528301889</v>
      </c>
      <c r="K478">
        <v>1.8867924528301889</v>
      </c>
      <c r="L478">
        <v>5.8888888888888893</v>
      </c>
      <c r="M478">
        <v>8</v>
      </c>
      <c r="N478">
        <v>1</v>
      </c>
      <c r="O478">
        <v>3</v>
      </c>
      <c r="P478">
        <v>100</v>
      </c>
      <c r="Q478">
        <v>53</v>
      </c>
      <c r="R478">
        <v>9</v>
      </c>
      <c r="S478">
        <v>10</v>
      </c>
      <c r="T478">
        <v>430</v>
      </c>
      <c r="U478">
        <v>66</v>
      </c>
      <c r="V478">
        <v>37</v>
      </c>
      <c r="W478">
        <v>100</v>
      </c>
    </row>
    <row r="479" spans="1:23" x14ac:dyDescent="0.2">
      <c r="A479" t="s">
        <v>637</v>
      </c>
      <c r="B479" t="s">
        <v>157</v>
      </c>
      <c r="C479">
        <v>5.0289711952209473</v>
      </c>
      <c r="D479">
        <v>387</v>
      </c>
      <c r="E479">
        <v>638</v>
      </c>
      <c r="F479">
        <v>7</v>
      </c>
      <c r="G479">
        <v>6</v>
      </c>
      <c r="H479">
        <v>6.5882352941176467</v>
      </c>
      <c r="I479">
        <v>1.3787878787878789</v>
      </c>
      <c r="J479">
        <v>1.784313725490196</v>
      </c>
      <c r="K479">
        <v>1.294117647058824</v>
      </c>
      <c r="L479">
        <v>8.5</v>
      </c>
      <c r="M479">
        <v>50</v>
      </c>
      <c r="N479">
        <v>2</v>
      </c>
      <c r="O479">
        <v>2</v>
      </c>
      <c r="P479">
        <v>66</v>
      </c>
      <c r="Q479">
        <v>51</v>
      </c>
      <c r="R479">
        <v>6</v>
      </c>
      <c r="S479">
        <v>13</v>
      </c>
      <c r="T479">
        <v>572</v>
      </c>
      <c r="U479">
        <v>66</v>
      </c>
      <c r="V479">
        <v>336</v>
      </c>
      <c r="W479">
        <v>91</v>
      </c>
    </row>
    <row r="480" spans="1:23" x14ac:dyDescent="0.2">
      <c r="A480" t="s">
        <v>638</v>
      </c>
      <c r="B480" t="s">
        <v>157</v>
      </c>
      <c r="C480">
        <v>105.23921012878419</v>
      </c>
      <c r="D480">
        <v>2095</v>
      </c>
      <c r="E480">
        <v>5431</v>
      </c>
      <c r="F480">
        <v>10</v>
      </c>
      <c r="G480">
        <v>9</v>
      </c>
      <c r="H480">
        <v>0.67924528301886788</v>
      </c>
      <c r="I480">
        <v>1</v>
      </c>
      <c r="J480">
        <v>1.4905660377358489</v>
      </c>
      <c r="K480">
        <v>1.4905660377358489</v>
      </c>
      <c r="L480">
        <v>5.8888888888888893</v>
      </c>
      <c r="M480">
        <v>8</v>
      </c>
      <c r="N480">
        <v>1</v>
      </c>
      <c r="O480">
        <v>2</v>
      </c>
      <c r="P480">
        <v>79</v>
      </c>
      <c r="Q480">
        <v>53</v>
      </c>
      <c r="R480">
        <v>9</v>
      </c>
      <c r="S480">
        <v>10</v>
      </c>
      <c r="T480">
        <v>451</v>
      </c>
      <c r="U480">
        <v>74</v>
      </c>
      <c r="V480">
        <v>36</v>
      </c>
      <c r="W480">
        <v>79</v>
      </c>
    </row>
    <row r="481" spans="1:23" x14ac:dyDescent="0.2">
      <c r="A481" t="s">
        <v>639</v>
      </c>
      <c r="B481" t="s">
        <v>158</v>
      </c>
      <c r="C481" t="s">
        <v>159</v>
      </c>
      <c r="D481" t="s">
        <v>159</v>
      </c>
      <c r="E481" t="s">
        <v>159</v>
      </c>
      <c r="F481" t="s">
        <v>159</v>
      </c>
      <c r="G481" t="s">
        <v>159</v>
      </c>
      <c r="H481" t="s">
        <v>159</v>
      </c>
      <c r="I481" t="s">
        <v>159</v>
      </c>
      <c r="J481" t="s">
        <v>159</v>
      </c>
      <c r="K481" t="s">
        <v>159</v>
      </c>
      <c r="L481" t="s">
        <v>159</v>
      </c>
      <c r="M481" t="s">
        <v>159</v>
      </c>
      <c r="N481" t="s">
        <v>159</v>
      </c>
      <c r="O481" t="s">
        <v>159</v>
      </c>
      <c r="P481" t="s">
        <v>159</v>
      </c>
      <c r="Q481" t="s">
        <v>159</v>
      </c>
      <c r="R481" t="s">
        <v>159</v>
      </c>
      <c r="S481" t="s">
        <v>159</v>
      </c>
      <c r="T481" t="s">
        <v>159</v>
      </c>
      <c r="U481" t="s">
        <v>159</v>
      </c>
      <c r="V481" t="s">
        <v>159</v>
      </c>
      <c r="W481" t="s">
        <v>159</v>
      </c>
    </row>
    <row r="482" spans="1:23" x14ac:dyDescent="0.2">
      <c r="A482" t="s">
        <v>640</v>
      </c>
      <c r="B482" t="s">
        <v>158</v>
      </c>
      <c r="C482" t="s">
        <v>159</v>
      </c>
      <c r="D482" t="s">
        <v>159</v>
      </c>
      <c r="E482" t="s">
        <v>159</v>
      </c>
      <c r="F482" t="s">
        <v>159</v>
      </c>
      <c r="G482" t="s">
        <v>159</v>
      </c>
      <c r="H482" t="s">
        <v>159</v>
      </c>
      <c r="I482" t="s">
        <v>159</v>
      </c>
      <c r="J482" t="s">
        <v>159</v>
      </c>
      <c r="K482" t="s">
        <v>159</v>
      </c>
      <c r="L482" t="s">
        <v>159</v>
      </c>
      <c r="M482" t="s">
        <v>159</v>
      </c>
      <c r="N482" t="s">
        <v>159</v>
      </c>
      <c r="O482" t="s">
        <v>159</v>
      </c>
      <c r="P482" t="s">
        <v>159</v>
      </c>
      <c r="Q482" t="s">
        <v>159</v>
      </c>
      <c r="R482" t="s">
        <v>159</v>
      </c>
      <c r="S482" t="s">
        <v>159</v>
      </c>
      <c r="T482" t="s">
        <v>159</v>
      </c>
      <c r="U482" t="s">
        <v>159</v>
      </c>
      <c r="V482" t="s">
        <v>159</v>
      </c>
      <c r="W482" t="s">
        <v>159</v>
      </c>
    </row>
    <row r="483" spans="1:23" x14ac:dyDescent="0.2">
      <c r="A483" t="s">
        <v>641</v>
      </c>
      <c r="B483" t="s">
        <v>157</v>
      </c>
      <c r="C483">
        <v>22.234301090240479</v>
      </c>
      <c r="D483">
        <v>314</v>
      </c>
      <c r="E483">
        <v>488</v>
      </c>
      <c r="F483">
        <v>9</v>
      </c>
      <c r="G483">
        <v>8</v>
      </c>
      <c r="H483">
        <v>51.352941176470587</v>
      </c>
      <c r="I483">
        <v>1.0543478260869561</v>
      </c>
      <c r="J483">
        <v>1.9019607843137261</v>
      </c>
      <c r="K483">
        <v>1.803921568627451</v>
      </c>
      <c r="L483">
        <v>6.375</v>
      </c>
      <c r="M483">
        <v>284</v>
      </c>
      <c r="N483">
        <v>2</v>
      </c>
      <c r="O483">
        <v>3</v>
      </c>
      <c r="P483">
        <v>92</v>
      </c>
      <c r="Q483">
        <v>51</v>
      </c>
      <c r="R483">
        <v>8</v>
      </c>
      <c r="S483">
        <v>10</v>
      </c>
      <c r="T483">
        <v>413</v>
      </c>
      <c r="U483">
        <v>62</v>
      </c>
      <c r="V483">
        <v>2619</v>
      </c>
      <c r="W483">
        <v>97</v>
      </c>
    </row>
    <row r="484" spans="1:23" x14ac:dyDescent="0.2">
      <c r="A484" t="s">
        <v>642</v>
      </c>
      <c r="B484" t="s">
        <v>157</v>
      </c>
      <c r="C484">
        <v>12.099054098129271</v>
      </c>
      <c r="D484">
        <v>11976</v>
      </c>
      <c r="E484">
        <v>27355</v>
      </c>
      <c r="F484">
        <v>17</v>
      </c>
      <c r="G484">
        <v>16</v>
      </c>
      <c r="H484">
        <v>0</v>
      </c>
      <c r="I484">
        <v>1.032520325203252</v>
      </c>
      <c r="J484">
        <v>1.984375</v>
      </c>
      <c r="K484">
        <v>1.921875</v>
      </c>
      <c r="L484">
        <v>4</v>
      </c>
      <c r="M484">
        <v>0</v>
      </c>
      <c r="N484">
        <v>2</v>
      </c>
      <c r="O484">
        <v>2</v>
      </c>
      <c r="P484">
        <v>123</v>
      </c>
      <c r="Q484">
        <v>64</v>
      </c>
      <c r="R484">
        <v>16</v>
      </c>
      <c r="S484">
        <v>21</v>
      </c>
      <c r="T484">
        <v>1217</v>
      </c>
      <c r="U484">
        <v>304</v>
      </c>
      <c r="V484">
        <v>0</v>
      </c>
      <c r="W484">
        <v>127</v>
      </c>
    </row>
    <row r="485" spans="1:23" x14ac:dyDescent="0.2">
      <c r="A485" t="s">
        <v>643</v>
      </c>
      <c r="B485" t="s">
        <v>157</v>
      </c>
      <c r="C485">
        <v>22.343787431716919</v>
      </c>
      <c r="D485">
        <v>266</v>
      </c>
      <c r="E485">
        <v>373</v>
      </c>
      <c r="F485">
        <v>8</v>
      </c>
      <c r="G485">
        <v>7</v>
      </c>
      <c r="H485">
        <v>1.5106382978723401</v>
      </c>
      <c r="I485">
        <v>1.130434782608696</v>
      </c>
      <c r="J485">
        <v>1.6595744680851059</v>
      </c>
      <c r="K485">
        <v>1.468085106382979</v>
      </c>
      <c r="L485">
        <v>6.7142857142857144</v>
      </c>
      <c r="M485">
        <v>2</v>
      </c>
      <c r="N485">
        <v>2</v>
      </c>
      <c r="O485">
        <v>2</v>
      </c>
      <c r="P485">
        <v>69</v>
      </c>
      <c r="Q485">
        <v>47</v>
      </c>
      <c r="R485">
        <v>7</v>
      </c>
      <c r="S485">
        <v>15</v>
      </c>
      <c r="T485">
        <v>627</v>
      </c>
      <c r="U485">
        <v>92</v>
      </c>
      <c r="V485">
        <v>71</v>
      </c>
      <c r="W485">
        <v>78</v>
      </c>
    </row>
    <row r="486" spans="1:23" x14ac:dyDescent="0.2">
      <c r="A486" t="s">
        <v>644</v>
      </c>
      <c r="B486" t="s">
        <v>157</v>
      </c>
      <c r="C486">
        <v>25.510912418365479</v>
      </c>
      <c r="D486">
        <v>558</v>
      </c>
      <c r="E486">
        <v>336</v>
      </c>
      <c r="F486">
        <v>11</v>
      </c>
      <c r="G486">
        <v>10</v>
      </c>
      <c r="H486">
        <v>151.47499999999999</v>
      </c>
      <c r="I486">
        <v>1</v>
      </c>
      <c r="J486">
        <v>1.5249999999999999</v>
      </c>
      <c r="K486">
        <v>1.5249999999999999</v>
      </c>
      <c r="L486">
        <v>4</v>
      </c>
      <c r="M486">
        <v>855</v>
      </c>
      <c r="N486">
        <v>1</v>
      </c>
      <c r="O486">
        <v>2</v>
      </c>
      <c r="P486">
        <v>61</v>
      </c>
      <c r="Q486">
        <v>40</v>
      </c>
      <c r="R486">
        <v>10</v>
      </c>
      <c r="S486">
        <v>11</v>
      </c>
      <c r="T486">
        <v>379</v>
      </c>
      <c r="U486">
        <v>92</v>
      </c>
      <c r="V486">
        <v>6059</v>
      </c>
      <c r="W486">
        <v>61</v>
      </c>
    </row>
    <row r="487" spans="1:23" x14ac:dyDescent="0.2">
      <c r="A487" t="s">
        <v>645</v>
      </c>
      <c r="B487" t="s">
        <v>157</v>
      </c>
      <c r="C487">
        <v>4.239577054977417</v>
      </c>
      <c r="D487">
        <v>265</v>
      </c>
      <c r="E487">
        <v>165</v>
      </c>
      <c r="F487">
        <v>8</v>
      </c>
      <c r="G487">
        <v>7</v>
      </c>
      <c r="H487">
        <v>0.6470588235294118</v>
      </c>
      <c r="I487">
        <v>1</v>
      </c>
      <c r="J487">
        <v>1.8235294117647061</v>
      </c>
      <c r="K487">
        <v>1.8235294117647061</v>
      </c>
      <c r="L487">
        <v>4.8571428571428568</v>
      </c>
      <c r="M487">
        <v>6</v>
      </c>
      <c r="N487">
        <v>1</v>
      </c>
      <c r="O487">
        <v>3</v>
      </c>
      <c r="P487">
        <v>62</v>
      </c>
      <c r="Q487">
        <v>34</v>
      </c>
      <c r="R487">
        <v>7</v>
      </c>
      <c r="S487">
        <v>8</v>
      </c>
      <c r="T487">
        <v>210</v>
      </c>
      <c r="U487">
        <v>38</v>
      </c>
      <c r="V487">
        <v>22</v>
      </c>
      <c r="W487">
        <v>62</v>
      </c>
    </row>
    <row r="488" spans="1:23" x14ac:dyDescent="0.2">
      <c r="A488" t="s">
        <v>646</v>
      </c>
      <c r="B488" t="s">
        <v>157</v>
      </c>
      <c r="C488">
        <v>15.569885969161991</v>
      </c>
      <c r="D488">
        <v>501</v>
      </c>
      <c r="E488">
        <v>364</v>
      </c>
      <c r="F488">
        <v>11</v>
      </c>
      <c r="G488">
        <v>10</v>
      </c>
      <c r="H488">
        <v>67.474999999999994</v>
      </c>
      <c r="I488">
        <v>1</v>
      </c>
      <c r="J488">
        <v>1.5249999999999999</v>
      </c>
      <c r="K488">
        <v>1.5249999999999999</v>
      </c>
      <c r="L488">
        <v>4</v>
      </c>
      <c r="M488">
        <v>595</v>
      </c>
      <c r="N488">
        <v>1</v>
      </c>
      <c r="O488">
        <v>2</v>
      </c>
      <c r="P488">
        <v>61</v>
      </c>
      <c r="Q488">
        <v>40</v>
      </c>
      <c r="R488">
        <v>10</v>
      </c>
      <c r="S488">
        <v>11</v>
      </c>
      <c r="T488">
        <v>379</v>
      </c>
      <c r="U488">
        <v>92</v>
      </c>
      <c r="V488">
        <v>2699</v>
      </c>
      <c r="W488">
        <v>61</v>
      </c>
    </row>
    <row r="489" spans="1:23" x14ac:dyDescent="0.2">
      <c r="A489" t="s">
        <v>647</v>
      </c>
      <c r="B489" t="s">
        <v>157</v>
      </c>
      <c r="C489">
        <v>980.1860830783844</v>
      </c>
      <c r="D489">
        <v>2744</v>
      </c>
      <c r="E489">
        <v>4047</v>
      </c>
      <c r="F489">
        <v>10</v>
      </c>
      <c r="G489">
        <v>9</v>
      </c>
      <c r="H489">
        <v>0.69811320754716977</v>
      </c>
      <c r="I489">
        <v>1</v>
      </c>
      <c r="J489">
        <v>2.0188679245283021</v>
      </c>
      <c r="K489">
        <v>2.0188679245283021</v>
      </c>
      <c r="L489">
        <v>5.8888888888888893</v>
      </c>
      <c r="M489">
        <v>8</v>
      </c>
      <c r="N489">
        <v>1</v>
      </c>
      <c r="O489">
        <v>3</v>
      </c>
      <c r="P489">
        <v>107</v>
      </c>
      <c r="Q489">
        <v>53</v>
      </c>
      <c r="R489">
        <v>9</v>
      </c>
      <c r="S489">
        <v>10</v>
      </c>
      <c r="T489">
        <v>423</v>
      </c>
      <c r="U489">
        <v>66</v>
      </c>
      <c r="V489">
        <v>37</v>
      </c>
      <c r="W489">
        <v>107</v>
      </c>
    </row>
    <row r="490" spans="1:23" x14ac:dyDescent="0.2">
      <c r="A490" t="s">
        <v>648</v>
      </c>
      <c r="B490" t="s">
        <v>157</v>
      </c>
      <c r="C490">
        <v>7.1672797203063956</v>
      </c>
      <c r="D490">
        <v>275</v>
      </c>
      <c r="E490">
        <v>379</v>
      </c>
      <c r="F490">
        <v>9</v>
      </c>
      <c r="G490">
        <v>8</v>
      </c>
      <c r="H490">
        <v>49.490196078431367</v>
      </c>
      <c r="I490">
        <v>1.054945054945055</v>
      </c>
      <c r="J490">
        <v>1.8823529411764699</v>
      </c>
      <c r="K490">
        <v>1.784313725490196</v>
      </c>
      <c r="L490">
        <v>6.375</v>
      </c>
      <c r="M490">
        <v>284</v>
      </c>
      <c r="N490">
        <v>2</v>
      </c>
      <c r="O490">
        <v>3</v>
      </c>
      <c r="P490">
        <v>91</v>
      </c>
      <c r="Q490">
        <v>51</v>
      </c>
      <c r="R490">
        <v>8</v>
      </c>
      <c r="S490">
        <v>10</v>
      </c>
      <c r="T490">
        <v>414</v>
      </c>
      <c r="U490">
        <v>62</v>
      </c>
      <c r="V490">
        <v>2524</v>
      </c>
      <c r="W490">
        <v>96</v>
      </c>
    </row>
    <row r="491" spans="1:23" x14ac:dyDescent="0.2">
      <c r="A491" t="s">
        <v>649</v>
      </c>
      <c r="B491" t="s">
        <v>157</v>
      </c>
      <c r="C491">
        <v>10.766676664352421</v>
      </c>
      <c r="D491">
        <v>179</v>
      </c>
      <c r="E491">
        <v>1208</v>
      </c>
      <c r="F491">
        <v>8</v>
      </c>
      <c r="G491">
        <v>6</v>
      </c>
      <c r="H491">
        <v>0</v>
      </c>
      <c r="I491">
        <v>1.056179775280899</v>
      </c>
      <c r="J491">
        <v>2.9375</v>
      </c>
      <c r="K491">
        <v>2.78125</v>
      </c>
      <c r="L491">
        <v>5.333333333333333</v>
      </c>
      <c r="M491">
        <v>0</v>
      </c>
      <c r="N491">
        <v>6</v>
      </c>
      <c r="O491">
        <v>5</v>
      </c>
      <c r="P491">
        <v>89</v>
      </c>
      <c r="Q491">
        <v>32</v>
      </c>
      <c r="R491">
        <v>6</v>
      </c>
      <c r="S491">
        <v>13</v>
      </c>
      <c r="T491">
        <v>322</v>
      </c>
      <c r="U491">
        <v>57</v>
      </c>
      <c r="V491">
        <v>0</v>
      </c>
      <c r="W491">
        <v>94</v>
      </c>
    </row>
    <row r="492" spans="1:23" x14ac:dyDescent="0.2">
      <c r="A492" t="s">
        <v>650</v>
      </c>
      <c r="B492" t="s">
        <v>158</v>
      </c>
      <c r="C492" t="s">
        <v>159</v>
      </c>
      <c r="D492" t="s">
        <v>159</v>
      </c>
      <c r="E492" t="s">
        <v>159</v>
      </c>
      <c r="F492" t="s">
        <v>159</v>
      </c>
      <c r="G492" t="s">
        <v>159</v>
      </c>
      <c r="H492" t="s">
        <v>159</v>
      </c>
      <c r="I492" t="s">
        <v>159</v>
      </c>
      <c r="J492" t="s">
        <v>159</v>
      </c>
      <c r="K492" t="s">
        <v>159</v>
      </c>
      <c r="L492" t="s">
        <v>159</v>
      </c>
      <c r="M492" t="s">
        <v>159</v>
      </c>
      <c r="N492" t="s">
        <v>159</v>
      </c>
      <c r="O492" t="s">
        <v>159</v>
      </c>
      <c r="P492" t="s">
        <v>159</v>
      </c>
      <c r="Q492" t="s">
        <v>159</v>
      </c>
      <c r="R492" t="s">
        <v>159</v>
      </c>
      <c r="S492" t="s">
        <v>159</v>
      </c>
      <c r="T492" t="s">
        <v>159</v>
      </c>
      <c r="U492" t="s">
        <v>159</v>
      </c>
      <c r="V492" t="s">
        <v>159</v>
      </c>
      <c r="W492" t="s">
        <v>159</v>
      </c>
    </row>
    <row r="493" spans="1:23" x14ac:dyDescent="0.2">
      <c r="A493" t="s">
        <v>651</v>
      </c>
      <c r="B493" t="s">
        <v>158</v>
      </c>
      <c r="C493" t="s">
        <v>159</v>
      </c>
      <c r="D493" t="s">
        <v>159</v>
      </c>
      <c r="E493" t="s">
        <v>159</v>
      </c>
      <c r="F493" t="s">
        <v>159</v>
      </c>
      <c r="G493" t="s">
        <v>159</v>
      </c>
      <c r="H493" t="s">
        <v>159</v>
      </c>
      <c r="I493" t="s">
        <v>159</v>
      </c>
      <c r="J493" t="s">
        <v>159</v>
      </c>
      <c r="K493" t="s">
        <v>159</v>
      </c>
      <c r="L493" t="s">
        <v>159</v>
      </c>
      <c r="M493" t="s">
        <v>159</v>
      </c>
      <c r="N493" t="s">
        <v>159</v>
      </c>
      <c r="O493" t="s">
        <v>159</v>
      </c>
      <c r="P493" t="s">
        <v>159</v>
      </c>
      <c r="Q493" t="s">
        <v>159</v>
      </c>
      <c r="R493" t="s">
        <v>159</v>
      </c>
      <c r="S493" t="s">
        <v>159</v>
      </c>
      <c r="T493" t="s">
        <v>159</v>
      </c>
      <c r="U493" t="s">
        <v>159</v>
      </c>
      <c r="V493" t="s">
        <v>159</v>
      </c>
      <c r="W493" t="s">
        <v>159</v>
      </c>
    </row>
    <row r="494" spans="1:23" x14ac:dyDescent="0.2">
      <c r="A494" t="s">
        <v>652</v>
      </c>
      <c r="B494" t="s">
        <v>157</v>
      </c>
      <c r="C494">
        <v>6383.0866091251373</v>
      </c>
      <c r="D494">
        <v>2759</v>
      </c>
      <c r="E494">
        <v>3959</v>
      </c>
      <c r="F494">
        <v>10</v>
      </c>
      <c r="G494">
        <v>9</v>
      </c>
      <c r="H494">
        <v>0.69811320754716977</v>
      </c>
      <c r="I494">
        <v>1</v>
      </c>
      <c r="J494">
        <v>2.0188679245283021</v>
      </c>
      <c r="K494">
        <v>2.0188679245283021</v>
      </c>
      <c r="L494">
        <v>5.8888888888888893</v>
      </c>
      <c r="M494">
        <v>8</v>
      </c>
      <c r="N494">
        <v>1</v>
      </c>
      <c r="O494">
        <v>3</v>
      </c>
      <c r="P494">
        <v>107</v>
      </c>
      <c r="Q494">
        <v>53</v>
      </c>
      <c r="R494">
        <v>9</v>
      </c>
      <c r="S494">
        <v>10</v>
      </c>
      <c r="T494">
        <v>423</v>
      </c>
      <c r="U494">
        <v>66</v>
      </c>
      <c r="V494">
        <v>37</v>
      </c>
      <c r="W494">
        <v>107</v>
      </c>
    </row>
    <row r="495" spans="1:23" x14ac:dyDescent="0.2">
      <c r="A495" t="s">
        <v>653</v>
      </c>
      <c r="B495" t="s">
        <v>157</v>
      </c>
      <c r="C495">
        <v>5678.4872555732727</v>
      </c>
      <c r="D495">
        <v>3629</v>
      </c>
      <c r="E495">
        <v>4160</v>
      </c>
      <c r="F495">
        <v>13</v>
      </c>
      <c r="G495">
        <v>12</v>
      </c>
      <c r="H495">
        <v>5375.391304347826</v>
      </c>
      <c r="I495">
        <v>1.2068965517241379</v>
      </c>
      <c r="J495">
        <v>1.5217391304347829</v>
      </c>
      <c r="K495">
        <v>1.2608695652173909</v>
      </c>
      <c r="L495">
        <v>3.833333333333333</v>
      </c>
      <c r="M495">
        <v>39701</v>
      </c>
      <c r="N495">
        <v>2</v>
      </c>
      <c r="O495">
        <v>3</v>
      </c>
      <c r="P495">
        <v>58</v>
      </c>
      <c r="Q495">
        <v>46</v>
      </c>
      <c r="R495">
        <v>12</v>
      </c>
      <c r="S495">
        <v>25</v>
      </c>
      <c r="T495">
        <v>1080</v>
      </c>
      <c r="U495">
        <v>275</v>
      </c>
      <c r="V495">
        <v>247268</v>
      </c>
      <c r="W495">
        <v>70</v>
      </c>
    </row>
    <row r="496" spans="1:23" x14ac:dyDescent="0.2">
      <c r="A496" t="s">
        <v>654</v>
      </c>
      <c r="B496" t="s">
        <v>157</v>
      </c>
      <c r="C496">
        <v>13.502521276474001</v>
      </c>
      <c r="D496">
        <v>12169</v>
      </c>
      <c r="E496">
        <v>23208</v>
      </c>
      <c r="F496">
        <v>17</v>
      </c>
      <c r="G496">
        <v>16</v>
      </c>
      <c r="H496">
        <v>0</v>
      </c>
      <c r="I496">
        <v>1.032520325203252</v>
      </c>
      <c r="J496">
        <v>1.984375</v>
      </c>
      <c r="K496">
        <v>1.921875</v>
      </c>
      <c r="L496">
        <v>4</v>
      </c>
      <c r="M496">
        <v>0</v>
      </c>
      <c r="N496">
        <v>2</v>
      </c>
      <c r="O496">
        <v>2</v>
      </c>
      <c r="P496">
        <v>123</v>
      </c>
      <c r="Q496">
        <v>64</v>
      </c>
      <c r="R496">
        <v>16</v>
      </c>
      <c r="S496">
        <v>21</v>
      </c>
      <c r="T496">
        <v>1217</v>
      </c>
      <c r="U496">
        <v>304</v>
      </c>
      <c r="V496">
        <v>0</v>
      </c>
      <c r="W496">
        <v>127</v>
      </c>
    </row>
    <row r="497" spans="1:23" x14ac:dyDescent="0.2">
      <c r="A497" t="s">
        <v>655</v>
      </c>
      <c r="B497" t="s">
        <v>157</v>
      </c>
      <c r="C497">
        <v>171.19658327102661</v>
      </c>
      <c r="D497">
        <v>899</v>
      </c>
      <c r="E497">
        <v>1163</v>
      </c>
      <c r="F497">
        <v>11</v>
      </c>
      <c r="G497">
        <v>10</v>
      </c>
      <c r="H497">
        <v>65.125</v>
      </c>
      <c r="I497">
        <v>1</v>
      </c>
      <c r="J497">
        <v>1.5249999999999999</v>
      </c>
      <c r="K497">
        <v>1.5249999999999999</v>
      </c>
      <c r="L497">
        <v>4</v>
      </c>
      <c r="M497">
        <v>595</v>
      </c>
      <c r="N497">
        <v>1</v>
      </c>
      <c r="O497">
        <v>2</v>
      </c>
      <c r="P497">
        <v>61</v>
      </c>
      <c r="Q497">
        <v>40</v>
      </c>
      <c r="R497">
        <v>10</v>
      </c>
      <c r="S497">
        <v>11</v>
      </c>
      <c r="T497">
        <v>379</v>
      </c>
      <c r="U497">
        <v>92</v>
      </c>
      <c r="V497">
        <v>2605</v>
      </c>
      <c r="W497">
        <v>61</v>
      </c>
    </row>
    <row r="498" spans="1:23" x14ac:dyDescent="0.2">
      <c r="A498" t="s">
        <v>656</v>
      </c>
      <c r="B498" t="s">
        <v>158</v>
      </c>
      <c r="C498" t="s">
        <v>159</v>
      </c>
      <c r="D498" t="s">
        <v>159</v>
      </c>
      <c r="E498" t="s">
        <v>159</v>
      </c>
      <c r="F498" t="s">
        <v>159</v>
      </c>
      <c r="G498" t="s">
        <v>159</v>
      </c>
      <c r="H498" t="s">
        <v>159</v>
      </c>
      <c r="I498" t="s">
        <v>159</v>
      </c>
      <c r="J498" t="s">
        <v>159</v>
      </c>
      <c r="K498" t="s">
        <v>159</v>
      </c>
      <c r="L498" t="s">
        <v>159</v>
      </c>
      <c r="M498" t="s">
        <v>159</v>
      </c>
      <c r="N498" t="s">
        <v>159</v>
      </c>
      <c r="O498" t="s">
        <v>159</v>
      </c>
      <c r="P498" t="s">
        <v>159</v>
      </c>
      <c r="Q498" t="s">
        <v>159</v>
      </c>
      <c r="R498" t="s">
        <v>159</v>
      </c>
      <c r="S498" t="s">
        <v>159</v>
      </c>
      <c r="T498" t="s">
        <v>159</v>
      </c>
      <c r="U498" t="s">
        <v>159</v>
      </c>
      <c r="V498" t="s">
        <v>159</v>
      </c>
      <c r="W498" t="s">
        <v>159</v>
      </c>
    </row>
    <row r="499" spans="1:23" x14ac:dyDescent="0.2">
      <c r="A499" t="s">
        <v>657</v>
      </c>
      <c r="B499" t="s">
        <v>157</v>
      </c>
      <c r="C499">
        <v>12.47921347618103</v>
      </c>
      <c r="D499">
        <v>278</v>
      </c>
      <c r="E499">
        <v>413</v>
      </c>
      <c r="F499">
        <v>9</v>
      </c>
      <c r="G499">
        <v>8</v>
      </c>
      <c r="H499">
        <v>129.80392156862749</v>
      </c>
      <c r="I499">
        <v>1.0543478260869561</v>
      </c>
      <c r="J499">
        <v>1.9019607843137261</v>
      </c>
      <c r="K499">
        <v>1.803921568627451</v>
      </c>
      <c r="L499">
        <v>6.375</v>
      </c>
      <c r="M499">
        <v>1056</v>
      </c>
      <c r="N499">
        <v>2</v>
      </c>
      <c r="O499">
        <v>3</v>
      </c>
      <c r="P499">
        <v>92</v>
      </c>
      <c r="Q499">
        <v>51</v>
      </c>
      <c r="R499">
        <v>8</v>
      </c>
      <c r="S499">
        <v>10</v>
      </c>
      <c r="T499">
        <v>413</v>
      </c>
      <c r="U499">
        <v>62</v>
      </c>
      <c r="V499">
        <v>6620</v>
      </c>
      <c r="W499">
        <v>97</v>
      </c>
    </row>
    <row r="500" spans="1:23" x14ac:dyDescent="0.2">
      <c r="A500" t="s">
        <v>658</v>
      </c>
      <c r="B500" t="s">
        <v>157</v>
      </c>
      <c r="C500">
        <v>450.97263741493231</v>
      </c>
      <c r="D500">
        <v>894</v>
      </c>
      <c r="E500">
        <v>967</v>
      </c>
      <c r="F500">
        <v>9</v>
      </c>
      <c r="G500">
        <v>8</v>
      </c>
      <c r="H500">
        <v>0.67441860465116277</v>
      </c>
      <c r="I500">
        <v>1</v>
      </c>
      <c r="J500">
        <v>1.930232558139535</v>
      </c>
      <c r="K500">
        <v>1.930232558139535</v>
      </c>
      <c r="L500">
        <v>5.375</v>
      </c>
      <c r="M500">
        <v>7</v>
      </c>
      <c r="N500">
        <v>1</v>
      </c>
      <c r="O500">
        <v>3</v>
      </c>
      <c r="P500">
        <v>83</v>
      </c>
      <c r="Q500">
        <v>43</v>
      </c>
      <c r="R500">
        <v>8</v>
      </c>
      <c r="S500">
        <v>9</v>
      </c>
      <c r="T500">
        <v>304</v>
      </c>
      <c r="U500">
        <v>51</v>
      </c>
      <c r="V500">
        <v>29</v>
      </c>
      <c r="W500">
        <v>83</v>
      </c>
    </row>
    <row r="501" spans="1:23" x14ac:dyDescent="0.2">
      <c r="A501" t="s">
        <v>659</v>
      </c>
      <c r="B501" t="s">
        <v>157</v>
      </c>
      <c r="C501">
        <v>16.372414588928219</v>
      </c>
      <c r="D501">
        <v>13224</v>
      </c>
      <c r="E501">
        <v>30351</v>
      </c>
      <c r="F501">
        <v>17</v>
      </c>
      <c r="G501">
        <v>16</v>
      </c>
      <c r="H501">
        <v>0</v>
      </c>
      <c r="I501">
        <v>1.032520325203252</v>
      </c>
      <c r="J501">
        <v>1.984375</v>
      </c>
      <c r="K501">
        <v>1.921875</v>
      </c>
      <c r="L501">
        <v>4</v>
      </c>
      <c r="M501">
        <v>0</v>
      </c>
      <c r="N501">
        <v>2</v>
      </c>
      <c r="O501">
        <v>2</v>
      </c>
      <c r="P501">
        <v>123</v>
      </c>
      <c r="Q501">
        <v>64</v>
      </c>
      <c r="R501">
        <v>16</v>
      </c>
      <c r="S501">
        <v>21</v>
      </c>
      <c r="T501">
        <v>1217</v>
      </c>
      <c r="U501">
        <v>304</v>
      </c>
      <c r="V501">
        <v>0</v>
      </c>
      <c r="W501">
        <v>127</v>
      </c>
    </row>
    <row r="502" spans="1:23" x14ac:dyDescent="0.2">
      <c r="A502" t="s">
        <v>660</v>
      </c>
      <c r="B502" t="s">
        <v>157</v>
      </c>
      <c r="C502">
        <v>3002.074931621552</v>
      </c>
      <c r="D502">
        <v>2841</v>
      </c>
      <c r="E502">
        <v>5422</v>
      </c>
      <c r="F502">
        <v>10</v>
      </c>
      <c r="G502">
        <v>9</v>
      </c>
      <c r="H502">
        <v>57854145192165.117</v>
      </c>
      <c r="I502">
        <v>1.029126213592233</v>
      </c>
      <c r="J502">
        <v>2.058252427184466</v>
      </c>
      <c r="K502">
        <v>2</v>
      </c>
      <c r="L502">
        <v>11.444444444444439</v>
      </c>
      <c r="M502">
        <v>1212982689600000</v>
      </c>
      <c r="N502">
        <v>2</v>
      </c>
      <c r="O502">
        <v>4</v>
      </c>
      <c r="P502">
        <v>206</v>
      </c>
      <c r="Q502">
        <v>103</v>
      </c>
      <c r="R502">
        <v>9</v>
      </c>
      <c r="S502">
        <v>19</v>
      </c>
      <c r="T502">
        <v>1745</v>
      </c>
      <c r="U502">
        <v>144</v>
      </c>
      <c r="V502">
        <v>5958976954793007</v>
      </c>
      <c r="W502">
        <v>212</v>
      </c>
    </row>
    <row r="503" spans="1:23" x14ac:dyDescent="0.2">
      <c r="A503" t="s">
        <v>661</v>
      </c>
      <c r="B503" t="s">
        <v>157</v>
      </c>
      <c r="C503">
        <v>12.5018880367279</v>
      </c>
      <c r="D503">
        <v>417</v>
      </c>
      <c r="E503">
        <v>671</v>
      </c>
      <c r="F503">
        <v>7</v>
      </c>
      <c r="G503">
        <v>6</v>
      </c>
      <c r="H503">
        <v>6.4705882352941178</v>
      </c>
      <c r="I503">
        <v>1.384615384615385</v>
      </c>
      <c r="J503">
        <v>1.7647058823529409</v>
      </c>
      <c r="K503">
        <v>1.2745098039215681</v>
      </c>
      <c r="L503">
        <v>8.5</v>
      </c>
      <c r="M503">
        <v>50</v>
      </c>
      <c r="N503">
        <v>2</v>
      </c>
      <c r="O503">
        <v>2</v>
      </c>
      <c r="P503">
        <v>65</v>
      </c>
      <c r="Q503">
        <v>51</v>
      </c>
      <c r="R503">
        <v>6</v>
      </c>
      <c r="S503">
        <v>13</v>
      </c>
      <c r="T503">
        <v>573</v>
      </c>
      <c r="U503">
        <v>66</v>
      </c>
      <c r="V503">
        <v>330</v>
      </c>
      <c r="W503">
        <v>90</v>
      </c>
    </row>
    <row r="504" spans="1:23" x14ac:dyDescent="0.2">
      <c r="A504" t="s">
        <v>662</v>
      </c>
      <c r="B504" t="s">
        <v>157</v>
      </c>
      <c r="C504">
        <v>263.44579410552979</v>
      </c>
      <c r="D504">
        <v>599</v>
      </c>
      <c r="E504">
        <v>1215</v>
      </c>
      <c r="F504">
        <v>9</v>
      </c>
      <c r="G504">
        <v>8</v>
      </c>
      <c r="H504">
        <v>1.55</v>
      </c>
      <c r="I504">
        <v>1.1208791208791209</v>
      </c>
      <c r="J504">
        <v>1.7</v>
      </c>
      <c r="K504">
        <v>1.5166666666666671</v>
      </c>
      <c r="L504">
        <v>7.5</v>
      </c>
      <c r="M504">
        <v>2</v>
      </c>
      <c r="N504">
        <v>2</v>
      </c>
      <c r="O504">
        <v>2</v>
      </c>
      <c r="P504">
        <v>91</v>
      </c>
      <c r="Q504">
        <v>60</v>
      </c>
      <c r="R504">
        <v>8</v>
      </c>
      <c r="S504">
        <v>17</v>
      </c>
      <c r="T504">
        <v>918</v>
      </c>
      <c r="U504">
        <v>121</v>
      </c>
      <c r="V504">
        <v>93</v>
      </c>
      <c r="W504">
        <v>102</v>
      </c>
    </row>
    <row r="505" spans="1:23" x14ac:dyDescent="0.2">
      <c r="A505" t="s">
        <v>663</v>
      </c>
      <c r="B505" t="s">
        <v>157</v>
      </c>
      <c r="C505">
        <v>2010.0259048938749</v>
      </c>
      <c r="D505">
        <v>79</v>
      </c>
      <c r="E505">
        <v>19888</v>
      </c>
      <c r="F505">
        <v>7</v>
      </c>
      <c r="G505">
        <v>4</v>
      </c>
      <c r="H505">
        <v>7</v>
      </c>
      <c r="I505">
        <v>1.147239263803681</v>
      </c>
      <c r="J505">
        <v>3.895833333333333</v>
      </c>
      <c r="K505">
        <v>3.395833333333333</v>
      </c>
      <c r="L505">
        <v>24</v>
      </c>
      <c r="M505">
        <v>24</v>
      </c>
      <c r="N505">
        <v>2</v>
      </c>
      <c r="O505">
        <v>5</v>
      </c>
      <c r="P505">
        <v>326</v>
      </c>
      <c r="Q505">
        <v>96</v>
      </c>
      <c r="R505">
        <v>4</v>
      </c>
      <c r="S505">
        <v>11</v>
      </c>
      <c r="T505">
        <v>682</v>
      </c>
      <c r="U505">
        <v>20</v>
      </c>
      <c r="V505">
        <v>672</v>
      </c>
      <c r="W505">
        <v>374</v>
      </c>
    </row>
    <row r="506" spans="1:23" x14ac:dyDescent="0.2">
      <c r="A506" t="s">
        <v>664</v>
      </c>
      <c r="B506" t="s">
        <v>157</v>
      </c>
      <c r="C506">
        <v>2058.9795567989349</v>
      </c>
      <c r="D506">
        <v>2234</v>
      </c>
      <c r="E506">
        <v>4075</v>
      </c>
      <c r="F506">
        <v>10</v>
      </c>
      <c r="G506">
        <v>9</v>
      </c>
      <c r="H506">
        <v>55861738986339.883</v>
      </c>
      <c r="I506">
        <v>1.019047619047619</v>
      </c>
      <c r="J506">
        <v>2.0776699029126209</v>
      </c>
      <c r="K506">
        <v>2.0388349514563111</v>
      </c>
      <c r="L506">
        <v>11.444444444444439</v>
      </c>
      <c r="M506">
        <v>1212982689600000</v>
      </c>
      <c r="N506">
        <v>2</v>
      </c>
      <c r="O506">
        <v>4</v>
      </c>
      <c r="P506">
        <v>210</v>
      </c>
      <c r="Q506">
        <v>103</v>
      </c>
      <c r="R506">
        <v>9</v>
      </c>
      <c r="S506">
        <v>19</v>
      </c>
      <c r="T506">
        <v>1743</v>
      </c>
      <c r="U506">
        <v>144</v>
      </c>
      <c r="V506">
        <v>5753759115593007</v>
      </c>
      <c r="W506">
        <v>214</v>
      </c>
    </row>
    <row r="507" spans="1:23" x14ac:dyDescent="0.2">
      <c r="A507" t="s">
        <v>665</v>
      </c>
      <c r="B507" t="s">
        <v>158</v>
      </c>
      <c r="C507" t="s">
        <v>159</v>
      </c>
      <c r="D507" t="s">
        <v>159</v>
      </c>
      <c r="E507" t="s">
        <v>159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  <c r="R507" t="s">
        <v>159</v>
      </c>
      <c r="S507" t="s">
        <v>159</v>
      </c>
      <c r="T507" t="s">
        <v>159</v>
      </c>
      <c r="U507" t="s">
        <v>159</v>
      </c>
      <c r="V507" t="s">
        <v>159</v>
      </c>
      <c r="W507" t="s">
        <v>159</v>
      </c>
    </row>
    <row r="508" spans="1:23" x14ac:dyDescent="0.2">
      <c r="A508" t="s">
        <v>666</v>
      </c>
      <c r="B508" t="s">
        <v>157</v>
      </c>
      <c r="C508">
        <v>3668.303161144257</v>
      </c>
      <c r="D508">
        <v>3366</v>
      </c>
      <c r="E508">
        <v>6866</v>
      </c>
      <c r="F508">
        <v>10</v>
      </c>
      <c r="G508">
        <v>9</v>
      </c>
      <c r="H508">
        <v>57275181875660.273</v>
      </c>
      <c r="I508">
        <v>1.029126213592233</v>
      </c>
      <c r="J508">
        <v>2.058252427184466</v>
      </c>
      <c r="K508">
        <v>2</v>
      </c>
      <c r="L508">
        <v>11.444444444444439</v>
      </c>
      <c r="M508">
        <v>1212982689600000</v>
      </c>
      <c r="N508">
        <v>2</v>
      </c>
      <c r="O508">
        <v>4</v>
      </c>
      <c r="P508">
        <v>206</v>
      </c>
      <c r="Q508">
        <v>103</v>
      </c>
      <c r="R508">
        <v>9</v>
      </c>
      <c r="S508">
        <v>19</v>
      </c>
      <c r="T508">
        <v>1745</v>
      </c>
      <c r="U508">
        <v>144</v>
      </c>
      <c r="V508">
        <v>5899343733193007</v>
      </c>
      <c r="W508">
        <v>212</v>
      </c>
    </row>
    <row r="509" spans="1:23" x14ac:dyDescent="0.2">
      <c r="A509" t="s">
        <v>667</v>
      </c>
      <c r="B509" t="s">
        <v>157</v>
      </c>
      <c r="C509">
        <v>77.475696802139282</v>
      </c>
      <c r="D509">
        <v>1261</v>
      </c>
      <c r="E509">
        <v>4045</v>
      </c>
      <c r="F509">
        <v>7</v>
      </c>
      <c r="G509">
        <v>7</v>
      </c>
      <c r="H509">
        <v>6.9636363636363638</v>
      </c>
      <c r="I509">
        <v>1.6447368421052631</v>
      </c>
      <c r="J509">
        <v>2.2727272727272729</v>
      </c>
      <c r="K509">
        <v>1.3818181818181821</v>
      </c>
      <c r="L509">
        <v>7.8571428571428568</v>
      </c>
      <c r="M509">
        <v>36</v>
      </c>
      <c r="N509">
        <v>4</v>
      </c>
      <c r="O509">
        <v>3</v>
      </c>
      <c r="P509">
        <v>76</v>
      </c>
      <c r="Q509">
        <v>55</v>
      </c>
      <c r="R509">
        <v>7</v>
      </c>
      <c r="S509">
        <v>14</v>
      </c>
      <c r="T509">
        <v>645</v>
      </c>
      <c r="U509">
        <v>74</v>
      </c>
      <c r="V509">
        <v>383</v>
      </c>
      <c r="W509">
        <v>125</v>
      </c>
    </row>
    <row r="510" spans="1:23" x14ac:dyDescent="0.2">
      <c r="A510" t="s">
        <v>668</v>
      </c>
      <c r="B510" t="s">
        <v>157</v>
      </c>
      <c r="C510">
        <v>22.207200288772579</v>
      </c>
      <c r="D510">
        <v>395</v>
      </c>
      <c r="E510">
        <v>422</v>
      </c>
      <c r="F510">
        <v>10</v>
      </c>
      <c r="G510">
        <v>9</v>
      </c>
      <c r="H510">
        <v>9.6393442622950793</v>
      </c>
      <c r="I510">
        <v>1.008403361344538</v>
      </c>
      <c r="J510">
        <v>1.9672131147540981</v>
      </c>
      <c r="K510">
        <v>1.9508196721311479</v>
      </c>
      <c r="L510">
        <v>6.7777777777777777</v>
      </c>
      <c r="M510">
        <v>100</v>
      </c>
      <c r="N510">
        <v>2</v>
      </c>
      <c r="O510">
        <v>4</v>
      </c>
      <c r="P510">
        <v>119</v>
      </c>
      <c r="Q510">
        <v>61</v>
      </c>
      <c r="R510">
        <v>9</v>
      </c>
      <c r="S510">
        <v>19</v>
      </c>
      <c r="T510">
        <v>1039</v>
      </c>
      <c r="U510">
        <v>147</v>
      </c>
      <c r="V510">
        <v>588</v>
      </c>
      <c r="W510">
        <v>120</v>
      </c>
    </row>
    <row r="511" spans="1:23" x14ac:dyDescent="0.2">
      <c r="A511" t="s">
        <v>669</v>
      </c>
      <c r="B511" t="s">
        <v>157</v>
      </c>
      <c r="C511">
        <v>292.88081884384161</v>
      </c>
      <c r="D511">
        <v>650</v>
      </c>
      <c r="E511">
        <v>5087</v>
      </c>
      <c r="F511">
        <v>7</v>
      </c>
      <c r="G511">
        <v>6</v>
      </c>
      <c r="H511">
        <v>6.25E-2</v>
      </c>
      <c r="I511">
        <v>0.98630136986301364</v>
      </c>
      <c r="J511">
        <v>2.25</v>
      </c>
      <c r="K511">
        <v>2.28125</v>
      </c>
      <c r="L511">
        <v>5.333333333333333</v>
      </c>
      <c r="M511">
        <v>1</v>
      </c>
      <c r="N511">
        <v>1</v>
      </c>
      <c r="O511">
        <v>5</v>
      </c>
      <c r="P511">
        <v>73</v>
      </c>
      <c r="Q511">
        <v>32</v>
      </c>
      <c r="R511">
        <v>6</v>
      </c>
      <c r="S511">
        <v>6</v>
      </c>
      <c r="T511">
        <v>120</v>
      </c>
      <c r="U511">
        <v>18</v>
      </c>
      <c r="V511">
        <v>2</v>
      </c>
      <c r="W511">
        <v>72</v>
      </c>
    </row>
    <row r="512" spans="1:23" x14ac:dyDescent="0.2">
      <c r="A512" t="s">
        <v>670</v>
      </c>
      <c r="B512" t="s">
        <v>157</v>
      </c>
      <c r="C512">
        <v>0.65360045433044434</v>
      </c>
      <c r="D512">
        <v>112</v>
      </c>
      <c r="E512">
        <v>142</v>
      </c>
      <c r="F512">
        <v>11</v>
      </c>
      <c r="G512">
        <v>9</v>
      </c>
      <c r="H512">
        <v>2.8243243243243241</v>
      </c>
      <c r="I512">
        <v>1</v>
      </c>
      <c r="J512">
        <v>1.472972972972973</v>
      </c>
      <c r="K512">
        <v>1.472972972972973</v>
      </c>
      <c r="L512">
        <v>8.2222222222222214</v>
      </c>
      <c r="M512">
        <v>4</v>
      </c>
      <c r="N512">
        <v>1</v>
      </c>
      <c r="O512">
        <v>2</v>
      </c>
      <c r="P512">
        <v>109</v>
      </c>
      <c r="Q512">
        <v>74</v>
      </c>
      <c r="R512">
        <v>9</v>
      </c>
      <c r="S512">
        <v>11</v>
      </c>
      <c r="T512">
        <v>705</v>
      </c>
      <c r="U512">
        <v>84</v>
      </c>
      <c r="V512">
        <v>209</v>
      </c>
      <c r="W512">
        <v>109</v>
      </c>
    </row>
    <row r="513" spans="1:23" x14ac:dyDescent="0.2">
      <c r="A513" t="s">
        <v>671</v>
      </c>
      <c r="B513" t="s">
        <v>158</v>
      </c>
      <c r="C513" t="s">
        <v>159</v>
      </c>
      <c r="D513" t="s">
        <v>159</v>
      </c>
      <c r="E513" t="s">
        <v>159</v>
      </c>
      <c r="F513" t="s">
        <v>159</v>
      </c>
      <c r="G513" t="s">
        <v>159</v>
      </c>
      <c r="H513" t="s">
        <v>159</v>
      </c>
      <c r="I513" t="s">
        <v>159</v>
      </c>
      <c r="J513" t="s">
        <v>159</v>
      </c>
      <c r="K513" t="s">
        <v>159</v>
      </c>
      <c r="L513" t="s">
        <v>159</v>
      </c>
      <c r="M513" t="s">
        <v>159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  <c r="S513" t="s">
        <v>159</v>
      </c>
      <c r="T513" t="s">
        <v>159</v>
      </c>
      <c r="U513" t="s">
        <v>159</v>
      </c>
      <c r="V513" t="s">
        <v>159</v>
      </c>
      <c r="W513" t="s">
        <v>159</v>
      </c>
    </row>
    <row r="514" spans="1:23" x14ac:dyDescent="0.2">
      <c r="A514" t="s">
        <v>672</v>
      </c>
      <c r="B514" t="s">
        <v>157</v>
      </c>
      <c r="C514">
        <v>6.8160474300384521</v>
      </c>
      <c r="D514">
        <v>8812</v>
      </c>
      <c r="E514">
        <v>15530</v>
      </c>
      <c r="F514">
        <v>17</v>
      </c>
      <c r="G514">
        <v>16</v>
      </c>
      <c r="H514">
        <v>0</v>
      </c>
      <c r="I514">
        <v>1.0327868852459019</v>
      </c>
      <c r="J514">
        <v>1.96875</v>
      </c>
      <c r="K514">
        <v>1.90625</v>
      </c>
      <c r="L514">
        <v>4</v>
      </c>
      <c r="M514">
        <v>0</v>
      </c>
      <c r="N514">
        <v>2</v>
      </c>
      <c r="O514">
        <v>2</v>
      </c>
      <c r="P514">
        <v>122</v>
      </c>
      <c r="Q514">
        <v>64</v>
      </c>
      <c r="R514">
        <v>16</v>
      </c>
      <c r="S514">
        <v>21</v>
      </c>
      <c r="T514">
        <v>1218</v>
      </c>
      <c r="U514">
        <v>304</v>
      </c>
      <c r="V514">
        <v>0</v>
      </c>
      <c r="W514">
        <v>126</v>
      </c>
    </row>
    <row r="515" spans="1:23" x14ac:dyDescent="0.2">
      <c r="A515" t="s">
        <v>673</v>
      </c>
      <c r="B515" t="s">
        <v>158</v>
      </c>
      <c r="C515" t="s">
        <v>159</v>
      </c>
      <c r="D515" t="s">
        <v>159</v>
      </c>
      <c r="E515" t="s">
        <v>159</v>
      </c>
      <c r="F515" t="s">
        <v>159</v>
      </c>
      <c r="G515" t="s">
        <v>159</v>
      </c>
      <c r="H515" t="s">
        <v>159</v>
      </c>
      <c r="I515" t="s">
        <v>159</v>
      </c>
      <c r="J515" t="s">
        <v>159</v>
      </c>
      <c r="K515" t="s">
        <v>159</v>
      </c>
      <c r="L515" t="s">
        <v>159</v>
      </c>
      <c r="M515" t="s">
        <v>159</v>
      </c>
      <c r="N515" t="s">
        <v>159</v>
      </c>
      <c r="O515" t="s">
        <v>159</v>
      </c>
      <c r="P515" t="s">
        <v>159</v>
      </c>
      <c r="Q515" t="s">
        <v>159</v>
      </c>
      <c r="R515" t="s">
        <v>159</v>
      </c>
      <c r="S515" t="s">
        <v>159</v>
      </c>
      <c r="T515" t="s">
        <v>159</v>
      </c>
      <c r="U515" t="s">
        <v>159</v>
      </c>
      <c r="V515" t="s">
        <v>159</v>
      </c>
      <c r="W515" t="s">
        <v>159</v>
      </c>
    </row>
    <row r="516" spans="1:23" x14ac:dyDescent="0.2">
      <c r="A516" t="s">
        <v>674</v>
      </c>
      <c r="B516" t="s">
        <v>158</v>
      </c>
      <c r="C516" t="s">
        <v>159</v>
      </c>
      <c r="D516" t="s">
        <v>159</v>
      </c>
      <c r="E516" t="s">
        <v>159</v>
      </c>
      <c r="F516" t="s">
        <v>159</v>
      </c>
      <c r="G516" t="s">
        <v>159</v>
      </c>
      <c r="H516" t="s">
        <v>159</v>
      </c>
      <c r="I516" t="s">
        <v>159</v>
      </c>
      <c r="J516" t="s">
        <v>159</v>
      </c>
      <c r="K516" t="s">
        <v>159</v>
      </c>
      <c r="L516" t="s">
        <v>159</v>
      </c>
      <c r="M516" t="s">
        <v>159</v>
      </c>
      <c r="N516" t="s">
        <v>159</v>
      </c>
      <c r="O516" t="s">
        <v>159</v>
      </c>
      <c r="P516" t="s">
        <v>159</v>
      </c>
      <c r="Q516" t="s">
        <v>159</v>
      </c>
      <c r="R516" t="s">
        <v>159</v>
      </c>
      <c r="S516" t="s">
        <v>159</v>
      </c>
      <c r="T516" t="s">
        <v>159</v>
      </c>
      <c r="U516" t="s">
        <v>159</v>
      </c>
      <c r="V516" t="s">
        <v>159</v>
      </c>
      <c r="W516" t="s">
        <v>159</v>
      </c>
    </row>
    <row r="517" spans="1:23" x14ac:dyDescent="0.2">
      <c r="A517" t="s">
        <v>675</v>
      </c>
      <c r="B517" t="s">
        <v>157</v>
      </c>
      <c r="C517">
        <v>963.54500484466564</v>
      </c>
      <c r="D517">
        <v>1730</v>
      </c>
      <c r="E517">
        <v>2643</v>
      </c>
      <c r="F517">
        <v>10</v>
      </c>
      <c r="G517">
        <v>9</v>
      </c>
      <c r="H517">
        <v>0.69811320754716977</v>
      </c>
      <c r="I517">
        <v>1</v>
      </c>
      <c r="J517">
        <v>2.0188679245283021</v>
      </c>
      <c r="K517">
        <v>2.0188679245283021</v>
      </c>
      <c r="L517">
        <v>5.8888888888888893</v>
      </c>
      <c r="M517">
        <v>8</v>
      </c>
      <c r="N517">
        <v>1</v>
      </c>
      <c r="O517">
        <v>3</v>
      </c>
      <c r="P517">
        <v>107</v>
      </c>
      <c r="Q517">
        <v>53</v>
      </c>
      <c r="R517">
        <v>9</v>
      </c>
      <c r="S517">
        <v>10</v>
      </c>
      <c r="T517">
        <v>423</v>
      </c>
      <c r="U517">
        <v>66</v>
      </c>
      <c r="V517">
        <v>37</v>
      </c>
      <c r="W517">
        <v>107</v>
      </c>
    </row>
    <row r="518" spans="1:23" x14ac:dyDescent="0.2">
      <c r="A518" t="s">
        <v>676</v>
      </c>
      <c r="B518" t="s">
        <v>157</v>
      </c>
      <c r="C518">
        <v>7.6221232414245597</v>
      </c>
      <c r="D518">
        <v>182</v>
      </c>
      <c r="E518">
        <v>276</v>
      </c>
      <c r="F518">
        <v>8</v>
      </c>
      <c r="G518">
        <v>7</v>
      </c>
      <c r="H518">
        <v>0.6470588235294118</v>
      </c>
      <c r="I518">
        <v>1</v>
      </c>
      <c r="J518">
        <v>1.6764705882352939</v>
      </c>
      <c r="K518">
        <v>1.6764705882352939</v>
      </c>
      <c r="L518">
        <v>4.8571428571428568</v>
      </c>
      <c r="M518">
        <v>6</v>
      </c>
      <c r="N518">
        <v>1</v>
      </c>
      <c r="O518">
        <v>3</v>
      </c>
      <c r="P518">
        <v>57</v>
      </c>
      <c r="Q518">
        <v>34</v>
      </c>
      <c r="R518">
        <v>7</v>
      </c>
      <c r="S518">
        <v>8</v>
      </c>
      <c r="T518">
        <v>215</v>
      </c>
      <c r="U518">
        <v>40</v>
      </c>
      <c r="V518">
        <v>22</v>
      </c>
      <c r="W518">
        <v>57</v>
      </c>
    </row>
    <row r="519" spans="1:23" x14ac:dyDescent="0.2">
      <c r="A519" t="s">
        <v>677</v>
      </c>
      <c r="B519" t="s">
        <v>158</v>
      </c>
      <c r="C519" t="s">
        <v>159</v>
      </c>
      <c r="D519" t="s">
        <v>159</v>
      </c>
      <c r="E519" t="s">
        <v>159</v>
      </c>
      <c r="F519" t="s">
        <v>159</v>
      </c>
      <c r="G519" t="s">
        <v>159</v>
      </c>
      <c r="H519" t="s">
        <v>159</v>
      </c>
      <c r="I519" t="s">
        <v>159</v>
      </c>
      <c r="J519" t="s">
        <v>159</v>
      </c>
      <c r="K519" t="s">
        <v>159</v>
      </c>
      <c r="L519" t="s">
        <v>159</v>
      </c>
      <c r="M519" t="s">
        <v>159</v>
      </c>
      <c r="N519" t="s">
        <v>159</v>
      </c>
      <c r="O519" t="s">
        <v>159</v>
      </c>
      <c r="P519" t="s">
        <v>159</v>
      </c>
      <c r="Q519" t="s">
        <v>159</v>
      </c>
      <c r="R519" t="s">
        <v>159</v>
      </c>
      <c r="S519" t="s">
        <v>159</v>
      </c>
      <c r="T519" t="s">
        <v>159</v>
      </c>
      <c r="U519" t="s">
        <v>159</v>
      </c>
      <c r="V519" t="s">
        <v>159</v>
      </c>
      <c r="W519" t="s">
        <v>159</v>
      </c>
    </row>
    <row r="520" spans="1:23" x14ac:dyDescent="0.2">
      <c r="A520" t="s">
        <v>678</v>
      </c>
      <c r="B520" t="s">
        <v>157</v>
      </c>
      <c r="C520">
        <v>9.2632250785827637</v>
      </c>
      <c r="D520">
        <v>8577</v>
      </c>
      <c r="E520">
        <v>14683</v>
      </c>
      <c r="F520">
        <v>17</v>
      </c>
      <c r="G520">
        <v>16</v>
      </c>
      <c r="H520">
        <v>0</v>
      </c>
      <c r="I520">
        <v>1.032520325203252</v>
      </c>
      <c r="J520">
        <v>1.984375</v>
      </c>
      <c r="K520">
        <v>1.921875</v>
      </c>
      <c r="L520">
        <v>4</v>
      </c>
      <c r="M520">
        <v>0</v>
      </c>
      <c r="N520">
        <v>2</v>
      </c>
      <c r="O520">
        <v>2</v>
      </c>
      <c r="P520">
        <v>123</v>
      </c>
      <c r="Q520">
        <v>64</v>
      </c>
      <c r="R520">
        <v>16</v>
      </c>
      <c r="S520">
        <v>21</v>
      </c>
      <c r="T520">
        <v>1217</v>
      </c>
      <c r="U520">
        <v>304</v>
      </c>
      <c r="V520">
        <v>0</v>
      </c>
      <c r="W520">
        <v>127</v>
      </c>
    </row>
    <row r="521" spans="1:23" x14ac:dyDescent="0.2">
      <c r="A521" t="s">
        <v>679</v>
      </c>
      <c r="B521" t="s">
        <v>157</v>
      </c>
      <c r="C521">
        <v>3827.03144288063</v>
      </c>
      <c r="D521">
        <v>3011</v>
      </c>
      <c r="E521">
        <v>5068</v>
      </c>
      <c r="F521">
        <v>10</v>
      </c>
      <c r="G521">
        <v>9</v>
      </c>
      <c r="H521">
        <v>58996447813524.344</v>
      </c>
      <c r="I521">
        <v>1.028169014084507</v>
      </c>
      <c r="J521">
        <v>2.1262135922330101</v>
      </c>
      <c r="K521">
        <v>2.0679611650485441</v>
      </c>
      <c r="L521">
        <v>11.444444444444439</v>
      </c>
      <c r="M521">
        <v>1212982689600000</v>
      </c>
      <c r="N521">
        <v>2</v>
      </c>
      <c r="O521">
        <v>4</v>
      </c>
      <c r="P521">
        <v>213</v>
      </c>
      <c r="Q521">
        <v>103</v>
      </c>
      <c r="R521">
        <v>9</v>
      </c>
      <c r="S521">
        <v>19</v>
      </c>
      <c r="T521">
        <v>1738</v>
      </c>
      <c r="U521">
        <v>144</v>
      </c>
      <c r="V521">
        <v>6076634124793007</v>
      </c>
      <c r="W521">
        <v>219</v>
      </c>
    </row>
    <row r="522" spans="1:23" x14ac:dyDescent="0.2">
      <c r="A522" t="s">
        <v>680</v>
      </c>
      <c r="B522" t="s">
        <v>158</v>
      </c>
      <c r="C522" t="s">
        <v>159</v>
      </c>
      <c r="D522" t="s">
        <v>159</v>
      </c>
      <c r="E522" t="s">
        <v>159</v>
      </c>
      <c r="F522" t="s">
        <v>159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  <c r="L522" t="s">
        <v>159</v>
      </c>
      <c r="M522" t="s">
        <v>159</v>
      </c>
      <c r="N522" t="s">
        <v>159</v>
      </c>
      <c r="O522" t="s">
        <v>159</v>
      </c>
      <c r="P522" t="s">
        <v>159</v>
      </c>
      <c r="Q522" t="s">
        <v>159</v>
      </c>
      <c r="R522" t="s">
        <v>159</v>
      </c>
      <c r="S522" t="s">
        <v>159</v>
      </c>
      <c r="T522" t="s">
        <v>159</v>
      </c>
      <c r="U522" t="s">
        <v>159</v>
      </c>
      <c r="V522" t="s">
        <v>159</v>
      </c>
      <c r="W522" t="s">
        <v>159</v>
      </c>
    </row>
    <row r="523" spans="1:23" x14ac:dyDescent="0.2">
      <c r="A523" t="s">
        <v>681</v>
      </c>
      <c r="B523" t="s">
        <v>157</v>
      </c>
      <c r="C523">
        <v>6.333141565322876</v>
      </c>
      <c r="D523">
        <v>79</v>
      </c>
      <c r="E523">
        <v>681</v>
      </c>
      <c r="F523">
        <v>6</v>
      </c>
      <c r="G523">
        <v>4</v>
      </c>
      <c r="H523">
        <v>1.470588235294118</v>
      </c>
      <c r="I523">
        <v>1.5</v>
      </c>
      <c r="J523">
        <v>2.117647058823529</v>
      </c>
      <c r="K523">
        <v>1.411764705882353</v>
      </c>
      <c r="L523">
        <v>4.25</v>
      </c>
      <c r="M523">
        <v>6</v>
      </c>
      <c r="N523">
        <v>3</v>
      </c>
      <c r="O523">
        <v>3</v>
      </c>
      <c r="P523">
        <v>24</v>
      </c>
      <c r="Q523">
        <v>17</v>
      </c>
      <c r="R523">
        <v>4</v>
      </c>
      <c r="S523">
        <v>12</v>
      </c>
      <c r="T523">
        <v>168</v>
      </c>
      <c r="U523">
        <v>35</v>
      </c>
      <c r="V523">
        <v>25</v>
      </c>
      <c r="W523">
        <v>36</v>
      </c>
    </row>
    <row r="524" spans="1:23" x14ac:dyDescent="0.2">
      <c r="A524" t="s">
        <v>682</v>
      </c>
      <c r="B524" t="s">
        <v>157</v>
      </c>
      <c r="C524">
        <v>449.0332505702973</v>
      </c>
      <c r="D524">
        <v>579</v>
      </c>
      <c r="E524">
        <v>4417</v>
      </c>
      <c r="F524">
        <v>7</v>
      </c>
      <c r="G524">
        <v>6</v>
      </c>
      <c r="H524">
        <v>6.25E-2</v>
      </c>
      <c r="I524">
        <v>0.98571428571428577</v>
      </c>
      <c r="J524">
        <v>2.15625</v>
      </c>
      <c r="K524">
        <v>2.1875</v>
      </c>
      <c r="L524">
        <v>5.333333333333333</v>
      </c>
      <c r="M524">
        <v>1</v>
      </c>
      <c r="N524">
        <v>1</v>
      </c>
      <c r="O524">
        <v>5</v>
      </c>
      <c r="P524">
        <v>70</v>
      </c>
      <c r="Q524">
        <v>32</v>
      </c>
      <c r="R524">
        <v>6</v>
      </c>
      <c r="S524">
        <v>6</v>
      </c>
      <c r="T524">
        <v>123</v>
      </c>
      <c r="U524">
        <v>18</v>
      </c>
      <c r="V524">
        <v>2</v>
      </c>
      <c r="W524">
        <v>69</v>
      </c>
    </row>
    <row r="525" spans="1:23" x14ac:dyDescent="0.2">
      <c r="A525" t="s">
        <v>683</v>
      </c>
      <c r="B525" t="s">
        <v>157</v>
      </c>
      <c r="C525">
        <v>2416.9248561859131</v>
      </c>
      <c r="D525">
        <v>2101</v>
      </c>
      <c r="E525">
        <v>3290</v>
      </c>
      <c r="F525">
        <v>10</v>
      </c>
      <c r="G525">
        <v>9</v>
      </c>
      <c r="H525">
        <v>57275181875660.273</v>
      </c>
      <c r="I525">
        <v>1.029126213592233</v>
      </c>
      <c r="J525">
        <v>2.058252427184466</v>
      </c>
      <c r="K525">
        <v>2</v>
      </c>
      <c r="L525">
        <v>11.444444444444439</v>
      </c>
      <c r="M525">
        <v>1212982689600000</v>
      </c>
      <c r="N525">
        <v>2</v>
      </c>
      <c r="O525">
        <v>4</v>
      </c>
      <c r="P525">
        <v>206</v>
      </c>
      <c r="Q525">
        <v>103</v>
      </c>
      <c r="R525">
        <v>9</v>
      </c>
      <c r="S525">
        <v>19</v>
      </c>
      <c r="T525">
        <v>1745</v>
      </c>
      <c r="U525">
        <v>144</v>
      </c>
      <c r="V525">
        <v>5899343733193007</v>
      </c>
      <c r="W525">
        <v>212</v>
      </c>
    </row>
    <row r="526" spans="1:23" x14ac:dyDescent="0.2">
      <c r="A526" t="s">
        <v>684</v>
      </c>
      <c r="B526" t="s">
        <v>157</v>
      </c>
      <c r="C526">
        <v>648.8092896938324</v>
      </c>
      <c r="D526">
        <v>1886</v>
      </c>
      <c r="E526">
        <v>3679</v>
      </c>
      <c r="F526">
        <v>10</v>
      </c>
      <c r="G526">
        <v>9</v>
      </c>
      <c r="H526">
        <v>0.67924528301886788</v>
      </c>
      <c r="I526">
        <v>1</v>
      </c>
      <c r="J526">
        <v>1.4905660377358489</v>
      </c>
      <c r="K526">
        <v>1.4905660377358489</v>
      </c>
      <c r="L526">
        <v>5.8888888888888893</v>
      </c>
      <c r="M526">
        <v>8</v>
      </c>
      <c r="N526">
        <v>1</v>
      </c>
      <c r="O526">
        <v>2</v>
      </c>
      <c r="P526">
        <v>79</v>
      </c>
      <c r="Q526">
        <v>53</v>
      </c>
      <c r="R526">
        <v>9</v>
      </c>
      <c r="S526">
        <v>10</v>
      </c>
      <c r="T526">
        <v>451</v>
      </c>
      <c r="U526">
        <v>74</v>
      </c>
      <c r="V526">
        <v>36</v>
      </c>
      <c r="W526">
        <v>79</v>
      </c>
    </row>
    <row r="527" spans="1:23" x14ac:dyDescent="0.2">
      <c r="A527" t="s">
        <v>685</v>
      </c>
      <c r="B527" t="s">
        <v>157</v>
      </c>
      <c r="C527">
        <v>10.76775002479553</v>
      </c>
      <c r="D527">
        <v>417</v>
      </c>
      <c r="E527">
        <v>528</v>
      </c>
      <c r="F527">
        <v>7</v>
      </c>
      <c r="G527">
        <v>6</v>
      </c>
      <c r="H527">
        <v>6.5098039215686274</v>
      </c>
      <c r="I527">
        <v>1.3787878787878789</v>
      </c>
      <c r="J527">
        <v>1.784313725490196</v>
      </c>
      <c r="K527">
        <v>1.294117647058824</v>
      </c>
      <c r="L527">
        <v>8.5</v>
      </c>
      <c r="M527">
        <v>50</v>
      </c>
      <c r="N527">
        <v>2</v>
      </c>
      <c r="O527">
        <v>2</v>
      </c>
      <c r="P527">
        <v>66</v>
      </c>
      <c r="Q527">
        <v>51</v>
      </c>
      <c r="R527">
        <v>6</v>
      </c>
      <c r="S527">
        <v>13</v>
      </c>
      <c r="T527">
        <v>572</v>
      </c>
      <c r="U527">
        <v>66</v>
      </c>
      <c r="V527">
        <v>332</v>
      </c>
      <c r="W527">
        <v>91</v>
      </c>
    </row>
    <row r="528" spans="1:23" x14ac:dyDescent="0.2">
      <c r="A528" t="s">
        <v>686</v>
      </c>
      <c r="B528" t="s">
        <v>157</v>
      </c>
      <c r="C528">
        <v>13.606981992721559</v>
      </c>
      <c r="D528">
        <v>314</v>
      </c>
      <c r="E528">
        <v>491</v>
      </c>
      <c r="F528">
        <v>9</v>
      </c>
      <c r="G528">
        <v>8</v>
      </c>
      <c r="H528">
        <v>128.8235294117647</v>
      </c>
      <c r="I528">
        <v>1.054945054945055</v>
      </c>
      <c r="J528">
        <v>1.8823529411764699</v>
      </c>
      <c r="K528">
        <v>1.784313725490196</v>
      </c>
      <c r="L528">
        <v>6.375</v>
      </c>
      <c r="M528">
        <v>1056</v>
      </c>
      <c r="N528">
        <v>2</v>
      </c>
      <c r="O528">
        <v>3</v>
      </c>
      <c r="P528">
        <v>91</v>
      </c>
      <c r="Q528">
        <v>51</v>
      </c>
      <c r="R528">
        <v>8</v>
      </c>
      <c r="S528">
        <v>10</v>
      </c>
      <c r="T528">
        <v>414</v>
      </c>
      <c r="U528">
        <v>62</v>
      </c>
      <c r="V528">
        <v>6570</v>
      </c>
      <c r="W528">
        <v>96</v>
      </c>
    </row>
    <row r="529" spans="1:23" x14ac:dyDescent="0.2">
      <c r="A529" t="s">
        <v>687</v>
      </c>
      <c r="B529" t="s">
        <v>157</v>
      </c>
      <c r="C529">
        <v>60.396466732025146</v>
      </c>
      <c r="D529">
        <v>843</v>
      </c>
      <c r="E529">
        <v>841</v>
      </c>
      <c r="F529">
        <v>9</v>
      </c>
      <c r="G529">
        <v>8</v>
      </c>
      <c r="H529">
        <v>0.67441860465116277</v>
      </c>
      <c r="I529">
        <v>1</v>
      </c>
      <c r="J529">
        <v>1.930232558139535</v>
      </c>
      <c r="K529">
        <v>1.930232558139535</v>
      </c>
      <c r="L529">
        <v>5.375</v>
      </c>
      <c r="M529">
        <v>7</v>
      </c>
      <c r="N529">
        <v>1</v>
      </c>
      <c r="O529">
        <v>3</v>
      </c>
      <c r="P529">
        <v>83</v>
      </c>
      <c r="Q529">
        <v>43</v>
      </c>
      <c r="R529">
        <v>8</v>
      </c>
      <c r="S529">
        <v>9</v>
      </c>
      <c r="T529">
        <v>304</v>
      </c>
      <c r="U529">
        <v>51</v>
      </c>
      <c r="V529">
        <v>29</v>
      </c>
      <c r="W529">
        <v>83</v>
      </c>
    </row>
    <row r="530" spans="1:23" x14ac:dyDescent="0.2">
      <c r="A530" t="s">
        <v>688</v>
      </c>
      <c r="B530" t="s">
        <v>157</v>
      </c>
      <c r="C530">
        <v>35.73764181137085</v>
      </c>
      <c r="D530">
        <v>759</v>
      </c>
      <c r="E530">
        <v>729</v>
      </c>
      <c r="F530">
        <v>9</v>
      </c>
      <c r="G530">
        <v>8</v>
      </c>
      <c r="H530">
        <v>0.67441860465116277</v>
      </c>
      <c r="I530">
        <v>1</v>
      </c>
      <c r="J530">
        <v>1.930232558139535</v>
      </c>
      <c r="K530">
        <v>1.930232558139535</v>
      </c>
      <c r="L530">
        <v>5.375</v>
      </c>
      <c r="M530">
        <v>7</v>
      </c>
      <c r="N530">
        <v>1</v>
      </c>
      <c r="O530">
        <v>3</v>
      </c>
      <c r="P530">
        <v>83</v>
      </c>
      <c r="Q530">
        <v>43</v>
      </c>
      <c r="R530">
        <v>8</v>
      </c>
      <c r="S530">
        <v>9</v>
      </c>
      <c r="T530">
        <v>304</v>
      </c>
      <c r="U530">
        <v>51</v>
      </c>
      <c r="V530">
        <v>29</v>
      </c>
      <c r="W530">
        <v>83</v>
      </c>
    </row>
    <row r="531" spans="1:23" x14ac:dyDescent="0.2">
      <c r="A531" t="s">
        <v>689</v>
      </c>
      <c r="B531" t="s">
        <v>158</v>
      </c>
      <c r="C531" t="s">
        <v>159</v>
      </c>
      <c r="D531" t="s">
        <v>159</v>
      </c>
      <c r="E531" t="s">
        <v>159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  <c r="M531" t="s">
        <v>159</v>
      </c>
      <c r="N531" t="s">
        <v>159</v>
      </c>
      <c r="O531" t="s">
        <v>159</v>
      </c>
      <c r="P531" t="s">
        <v>159</v>
      </c>
      <c r="Q531" t="s">
        <v>159</v>
      </c>
      <c r="R531" t="s">
        <v>159</v>
      </c>
      <c r="S531" t="s">
        <v>159</v>
      </c>
      <c r="T531" t="s">
        <v>159</v>
      </c>
      <c r="U531" t="s">
        <v>159</v>
      </c>
      <c r="V531" t="s">
        <v>159</v>
      </c>
      <c r="W531" t="s">
        <v>159</v>
      </c>
    </row>
    <row r="532" spans="1:23" x14ac:dyDescent="0.2">
      <c r="A532" t="s">
        <v>690</v>
      </c>
      <c r="B532" t="s">
        <v>157</v>
      </c>
      <c r="C532">
        <v>21.363965749740601</v>
      </c>
      <c r="D532">
        <v>266</v>
      </c>
      <c r="E532">
        <v>368</v>
      </c>
      <c r="F532">
        <v>8</v>
      </c>
      <c r="G532">
        <v>7</v>
      </c>
      <c r="H532">
        <v>1.5106382978723401</v>
      </c>
      <c r="I532">
        <v>1.130434782608696</v>
      </c>
      <c r="J532">
        <v>1.6595744680851059</v>
      </c>
      <c r="K532">
        <v>1.468085106382979</v>
      </c>
      <c r="L532">
        <v>6.7142857142857144</v>
      </c>
      <c r="M532">
        <v>2</v>
      </c>
      <c r="N532">
        <v>2</v>
      </c>
      <c r="O532">
        <v>2</v>
      </c>
      <c r="P532">
        <v>69</v>
      </c>
      <c r="Q532">
        <v>47</v>
      </c>
      <c r="R532">
        <v>7</v>
      </c>
      <c r="S532">
        <v>15</v>
      </c>
      <c r="T532">
        <v>627</v>
      </c>
      <c r="U532">
        <v>92</v>
      </c>
      <c r="V532">
        <v>71</v>
      </c>
      <c r="W532">
        <v>78</v>
      </c>
    </row>
    <row r="533" spans="1:23" x14ac:dyDescent="0.2">
      <c r="A533" t="s">
        <v>691</v>
      </c>
      <c r="B533" t="s">
        <v>158</v>
      </c>
      <c r="C533" t="s">
        <v>159</v>
      </c>
      <c r="D533" t="s">
        <v>159</v>
      </c>
      <c r="E533" t="s">
        <v>159</v>
      </c>
      <c r="F533" t="s">
        <v>159</v>
      </c>
      <c r="G533" t="s">
        <v>159</v>
      </c>
      <c r="H533" t="s">
        <v>159</v>
      </c>
      <c r="I533" t="s">
        <v>159</v>
      </c>
      <c r="J533" t="s">
        <v>159</v>
      </c>
      <c r="K533" t="s">
        <v>159</v>
      </c>
      <c r="L533" t="s">
        <v>159</v>
      </c>
      <c r="M533" t="s">
        <v>159</v>
      </c>
      <c r="N533" t="s">
        <v>159</v>
      </c>
      <c r="O533" t="s">
        <v>159</v>
      </c>
      <c r="P533" t="s">
        <v>159</v>
      </c>
      <c r="Q533" t="s">
        <v>159</v>
      </c>
      <c r="R533" t="s">
        <v>159</v>
      </c>
      <c r="S533" t="s">
        <v>159</v>
      </c>
      <c r="T533" t="s">
        <v>159</v>
      </c>
      <c r="U533" t="s">
        <v>159</v>
      </c>
      <c r="V533" t="s">
        <v>159</v>
      </c>
      <c r="W533" t="s">
        <v>159</v>
      </c>
    </row>
    <row r="534" spans="1:23" x14ac:dyDescent="0.2">
      <c r="A534" t="s">
        <v>692</v>
      </c>
      <c r="B534" t="s">
        <v>157</v>
      </c>
      <c r="C534">
        <v>12.51266741752624</v>
      </c>
      <c r="D534">
        <v>547</v>
      </c>
      <c r="E534">
        <v>978</v>
      </c>
      <c r="F534">
        <v>9</v>
      </c>
      <c r="G534">
        <v>8</v>
      </c>
      <c r="H534">
        <v>0.65116279069767447</v>
      </c>
      <c r="I534">
        <v>1</v>
      </c>
      <c r="J534">
        <v>1.441860465116279</v>
      </c>
      <c r="K534">
        <v>1.441860465116279</v>
      </c>
      <c r="L534">
        <v>5.375</v>
      </c>
      <c r="M534">
        <v>7</v>
      </c>
      <c r="N534">
        <v>1</v>
      </c>
      <c r="O534">
        <v>2</v>
      </c>
      <c r="P534">
        <v>62</v>
      </c>
      <c r="Q534">
        <v>43</v>
      </c>
      <c r="R534">
        <v>8</v>
      </c>
      <c r="S534">
        <v>9</v>
      </c>
      <c r="T534">
        <v>325</v>
      </c>
      <c r="U534">
        <v>58</v>
      </c>
      <c r="V534">
        <v>28</v>
      </c>
      <c r="W534">
        <v>62</v>
      </c>
    </row>
    <row r="535" spans="1:23" x14ac:dyDescent="0.2">
      <c r="A535" t="s">
        <v>693</v>
      </c>
      <c r="B535" t="s">
        <v>157</v>
      </c>
      <c r="C535">
        <v>1234.8915092945099</v>
      </c>
      <c r="D535">
        <v>4100</v>
      </c>
      <c r="E535">
        <v>7650</v>
      </c>
      <c r="F535">
        <v>10</v>
      </c>
      <c r="G535">
        <v>9</v>
      </c>
      <c r="H535">
        <v>9.6279069767441836</v>
      </c>
      <c r="I535">
        <v>1.681159420289855</v>
      </c>
      <c r="J535">
        <v>2.6976744186046511</v>
      </c>
      <c r="K535">
        <v>1.6046511627906981</v>
      </c>
      <c r="L535">
        <v>4.7777777777777777</v>
      </c>
      <c r="M535">
        <v>50</v>
      </c>
      <c r="N535">
        <v>4</v>
      </c>
      <c r="O535">
        <v>3</v>
      </c>
      <c r="P535">
        <v>69</v>
      </c>
      <c r="Q535">
        <v>43</v>
      </c>
      <c r="R535">
        <v>9</v>
      </c>
      <c r="S535">
        <v>25</v>
      </c>
      <c r="T535">
        <v>959</v>
      </c>
      <c r="U535">
        <v>193</v>
      </c>
      <c r="V535">
        <v>414</v>
      </c>
      <c r="W535">
        <v>116</v>
      </c>
    </row>
    <row r="536" spans="1:23" x14ac:dyDescent="0.2">
      <c r="A536" t="s">
        <v>694</v>
      </c>
      <c r="B536" t="s">
        <v>157</v>
      </c>
      <c r="C536">
        <v>7.9470589160919189</v>
      </c>
      <c r="D536">
        <v>8784</v>
      </c>
      <c r="E536">
        <v>14881</v>
      </c>
      <c r="F536">
        <v>17</v>
      </c>
      <c r="G536">
        <v>16</v>
      </c>
      <c r="H536">
        <v>0</v>
      </c>
      <c r="I536">
        <v>1.032520325203252</v>
      </c>
      <c r="J536">
        <v>1.984375</v>
      </c>
      <c r="K536">
        <v>1.921875</v>
      </c>
      <c r="L536">
        <v>4</v>
      </c>
      <c r="M536">
        <v>0</v>
      </c>
      <c r="N536">
        <v>2</v>
      </c>
      <c r="O536">
        <v>2</v>
      </c>
      <c r="P536">
        <v>123</v>
      </c>
      <c r="Q536">
        <v>64</v>
      </c>
      <c r="R536">
        <v>16</v>
      </c>
      <c r="S536">
        <v>21</v>
      </c>
      <c r="T536">
        <v>1217</v>
      </c>
      <c r="U536">
        <v>304</v>
      </c>
      <c r="V536">
        <v>0</v>
      </c>
      <c r="W536">
        <v>127</v>
      </c>
    </row>
    <row r="537" spans="1:23" x14ac:dyDescent="0.2">
      <c r="A537" t="s">
        <v>695</v>
      </c>
      <c r="B537" t="s">
        <v>157</v>
      </c>
      <c r="C537">
        <v>10.91575765609741</v>
      </c>
      <c r="D537">
        <v>496</v>
      </c>
      <c r="E537">
        <v>942</v>
      </c>
      <c r="F537">
        <v>7</v>
      </c>
      <c r="G537">
        <v>6</v>
      </c>
      <c r="H537">
        <v>5.882352941176471</v>
      </c>
      <c r="I537">
        <v>1.396825396825397</v>
      </c>
      <c r="J537">
        <v>1.7254901960784319</v>
      </c>
      <c r="K537">
        <v>1.2352941176470591</v>
      </c>
      <c r="L537">
        <v>8.5</v>
      </c>
      <c r="M537">
        <v>50</v>
      </c>
      <c r="N537">
        <v>2</v>
      </c>
      <c r="O537">
        <v>2</v>
      </c>
      <c r="P537">
        <v>63</v>
      </c>
      <c r="Q537">
        <v>51</v>
      </c>
      <c r="R537">
        <v>6</v>
      </c>
      <c r="S537">
        <v>13</v>
      </c>
      <c r="T537">
        <v>575</v>
      </c>
      <c r="U537">
        <v>66</v>
      </c>
      <c r="V537">
        <v>300</v>
      </c>
      <c r="W537">
        <v>88</v>
      </c>
    </row>
    <row r="538" spans="1:23" x14ac:dyDescent="0.2">
      <c r="A538" t="s">
        <v>696</v>
      </c>
      <c r="B538" t="s">
        <v>157</v>
      </c>
      <c r="C538">
        <v>12.516534566879271</v>
      </c>
      <c r="D538">
        <v>465</v>
      </c>
      <c r="E538">
        <v>272</v>
      </c>
      <c r="F538">
        <v>11</v>
      </c>
      <c r="G538">
        <v>10</v>
      </c>
      <c r="H538">
        <v>67.55</v>
      </c>
      <c r="I538">
        <v>1</v>
      </c>
      <c r="J538">
        <v>1.5249999999999999</v>
      </c>
      <c r="K538">
        <v>1.5249999999999999</v>
      </c>
      <c r="L538">
        <v>4</v>
      </c>
      <c r="M538">
        <v>595</v>
      </c>
      <c r="N538">
        <v>1</v>
      </c>
      <c r="O538">
        <v>2</v>
      </c>
      <c r="P538">
        <v>61</v>
      </c>
      <c r="Q538">
        <v>40</v>
      </c>
      <c r="R538">
        <v>10</v>
      </c>
      <c r="S538">
        <v>11</v>
      </c>
      <c r="T538">
        <v>379</v>
      </c>
      <c r="U538">
        <v>92</v>
      </c>
      <c r="V538">
        <v>2702</v>
      </c>
      <c r="W538">
        <v>61</v>
      </c>
    </row>
    <row r="539" spans="1:23" x14ac:dyDescent="0.2">
      <c r="A539" t="s">
        <v>697</v>
      </c>
      <c r="B539" t="s">
        <v>157</v>
      </c>
      <c r="C539">
        <v>4.920893669128418</v>
      </c>
      <c r="D539">
        <v>9660</v>
      </c>
      <c r="E539">
        <v>17321</v>
      </c>
      <c r="F539">
        <v>17</v>
      </c>
      <c r="G539">
        <v>16</v>
      </c>
      <c r="H539">
        <v>0</v>
      </c>
      <c r="I539">
        <v>1.032520325203252</v>
      </c>
      <c r="J539">
        <v>1.984375</v>
      </c>
      <c r="K539">
        <v>1.921875</v>
      </c>
      <c r="L539">
        <v>4</v>
      </c>
      <c r="M539">
        <v>0</v>
      </c>
      <c r="N539">
        <v>2</v>
      </c>
      <c r="O539">
        <v>2</v>
      </c>
      <c r="P539">
        <v>123</v>
      </c>
      <c r="Q539">
        <v>64</v>
      </c>
      <c r="R539">
        <v>16</v>
      </c>
      <c r="S539">
        <v>21</v>
      </c>
      <c r="T539">
        <v>1217</v>
      </c>
      <c r="U539">
        <v>304</v>
      </c>
      <c r="V539">
        <v>0</v>
      </c>
      <c r="W539">
        <v>127</v>
      </c>
    </row>
    <row r="540" spans="1:23" x14ac:dyDescent="0.2">
      <c r="A540" t="s">
        <v>698</v>
      </c>
      <c r="B540" t="s">
        <v>157</v>
      </c>
      <c r="C540">
        <v>242.9829766750336</v>
      </c>
      <c r="D540">
        <v>1163</v>
      </c>
      <c r="E540">
        <v>1670</v>
      </c>
      <c r="F540">
        <v>11</v>
      </c>
      <c r="G540">
        <v>10</v>
      </c>
      <c r="H540">
        <v>66.775000000000006</v>
      </c>
      <c r="I540">
        <v>1</v>
      </c>
      <c r="J540">
        <v>1.5249999999999999</v>
      </c>
      <c r="K540">
        <v>1.5249999999999999</v>
      </c>
      <c r="L540">
        <v>4</v>
      </c>
      <c r="M540">
        <v>595</v>
      </c>
      <c r="N540">
        <v>1</v>
      </c>
      <c r="O540">
        <v>2</v>
      </c>
      <c r="P540">
        <v>61</v>
      </c>
      <c r="Q540">
        <v>40</v>
      </c>
      <c r="R540">
        <v>10</v>
      </c>
      <c r="S540">
        <v>11</v>
      </c>
      <c r="T540">
        <v>379</v>
      </c>
      <c r="U540">
        <v>92</v>
      </c>
      <c r="V540">
        <v>2671</v>
      </c>
      <c r="W540">
        <v>61</v>
      </c>
    </row>
    <row r="541" spans="1:23" x14ac:dyDescent="0.2">
      <c r="A541" t="s">
        <v>699</v>
      </c>
      <c r="B541" t="s">
        <v>157</v>
      </c>
      <c r="C541">
        <v>881.27412819862366</v>
      </c>
      <c r="D541">
        <v>2582</v>
      </c>
      <c r="E541">
        <v>4178</v>
      </c>
      <c r="F541">
        <v>10</v>
      </c>
      <c r="G541">
        <v>9</v>
      </c>
      <c r="H541">
        <v>58996447813524.344</v>
      </c>
      <c r="I541">
        <v>1.028169014084507</v>
      </c>
      <c r="J541">
        <v>2.1262135922330101</v>
      </c>
      <c r="K541">
        <v>2.0679611650485441</v>
      </c>
      <c r="L541">
        <v>11.444444444444439</v>
      </c>
      <c r="M541">
        <v>1212982689600000</v>
      </c>
      <c r="N541">
        <v>2</v>
      </c>
      <c r="O541">
        <v>4</v>
      </c>
      <c r="P541">
        <v>213</v>
      </c>
      <c r="Q541">
        <v>103</v>
      </c>
      <c r="R541">
        <v>9</v>
      </c>
      <c r="S541">
        <v>19</v>
      </c>
      <c r="T541">
        <v>1738</v>
      </c>
      <c r="U541">
        <v>144</v>
      </c>
      <c r="V541">
        <v>6076634124793007</v>
      </c>
      <c r="W541">
        <v>219</v>
      </c>
    </row>
    <row r="542" spans="1:23" x14ac:dyDescent="0.2">
      <c r="A542" t="s">
        <v>700</v>
      </c>
      <c r="B542" t="s">
        <v>157</v>
      </c>
      <c r="C542">
        <v>11.595096588134769</v>
      </c>
      <c r="D542">
        <v>278</v>
      </c>
      <c r="E542">
        <v>374</v>
      </c>
      <c r="F542">
        <v>9</v>
      </c>
      <c r="G542">
        <v>8</v>
      </c>
      <c r="H542">
        <v>51.392156862745097</v>
      </c>
      <c r="I542">
        <v>1.0543478260869561</v>
      </c>
      <c r="J542">
        <v>1.9019607843137261</v>
      </c>
      <c r="K542">
        <v>1.803921568627451</v>
      </c>
      <c r="L542">
        <v>6.375</v>
      </c>
      <c r="M542">
        <v>284</v>
      </c>
      <c r="N542">
        <v>2</v>
      </c>
      <c r="O542">
        <v>3</v>
      </c>
      <c r="P542">
        <v>92</v>
      </c>
      <c r="Q542">
        <v>51</v>
      </c>
      <c r="R542">
        <v>8</v>
      </c>
      <c r="S542">
        <v>10</v>
      </c>
      <c r="T542">
        <v>413</v>
      </c>
      <c r="U542">
        <v>62</v>
      </c>
      <c r="V542">
        <v>2621</v>
      </c>
      <c r="W542">
        <v>97</v>
      </c>
    </row>
    <row r="543" spans="1:23" x14ac:dyDescent="0.2">
      <c r="A543" t="s">
        <v>701</v>
      </c>
      <c r="B543" t="s">
        <v>157</v>
      </c>
      <c r="C543">
        <v>21.972546339035031</v>
      </c>
      <c r="D543">
        <v>577</v>
      </c>
      <c r="E543">
        <v>360</v>
      </c>
      <c r="F543">
        <v>11</v>
      </c>
      <c r="G543">
        <v>10</v>
      </c>
      <c r="H543">
        <v>152.17500000000001</v>
      </c>
      <c r="I543">
        <v>1</v>
      </c>
      <c r="J543">
        <v>1.5249999999999999</v>
      </c>
      <c r="K543">
        <v>1.5249999999999999</v>
      </c>
      <c r="L543">
        <v>4</v>
      </c>
      <c r="M543">
        <v>855</v>
      </c>
      <c r="N543">
        <v>1</v>
      </c>
      <c r="O543">
        <v>2</v>
      </c>
      <c r="P543">
        <v>61</v>
      </c>
      <c r="Q543">
        <v>40</v>
      </c>
      <c r="R543">
        <v>10</v>
      </c>
      <c r="S543">
        <v>11</v>
      </c>
      <c r="T543">
        <v>379</v>
      </c>
      <c r="U543">
        <v>92</v>
      </c>
      <c r="V543">
        <v>6087</v>
      </c>
      <c r="W543">
        <v>61</v>
      </c>
    </row>
    <row r="544" spans="1:23" x14ac:dyDescent="0.2">
      <c r="A544" t="s">
        <v>702</v>
      </c>
      <c r="B544" t="s">
        <v>157</v>
      </c>
      <c r="C544">
        <v>49.295429229736328</v>
      </c>
      <c r="D544">
        <v>2263</v>
      </c>
      <c r="E544">
        <v>2550</v>
      </c>
      <c r="F544">
        <v>13</v>
      </c>
      <c r="G544">
        <v>12</v>
      </c>
      <c r="H544">
        <v>5375.391304347826</v>
      </c>
      <c r="I544">
        <v>1.128571428571429</v>
      </c>
      <c r="J544">
        <v>1.7173913043478259</v>
      </c>
      <c r="K544">
        <v>1.5217391304347829</v>
      </c>
      <c r="L544">
        <v>3.833333333333333</v>
      </c>
      <c r="M544">
        <v>39701</v>
      </c>
      <c r="N544">
        <v>2</v>
      </c>
      <c r="O544">
        <v>5</v>
      </c>
      <c r="P544">
        <v>70</v>
      </c>
      <c r="Q544">
        <v>46</v>
      </c>
      <c r="R544">
        <v>12</v>
      </c>
      <c r="S544">
        <v>25</v>
      </c>
      <c r="T544">
        <v>1071</v>
      </c>
      <c r="U544">
        <v>272</v>
      </c>
      <c r="V544">
        <v>247268</v>
      </c>
      <c r="W544">
        <v>79</v>
      </c>
    </row>
    <row r="545" spans="1:23" x14ac:dyDescent="0.2">
      <c r="A545" t="s">
        <v>703</v>
      </c>
      <c r="B545" t="s">
        <v>157</v>
      </c>
      <c r="C545">
        <v>19.408107280731201</v>
      </c>
      <c r="D545">
        <v>1695</v>
      </c>
      <c r="E545">
        <v>1605</v>
      </c>
      <c r="F545">
        <v>13</v>
      </c>
      <c r="G545">
        <v>12</v>
      </c>
      <c r="H545">
        <v>5375.391304347826</v>
      </c>
      <c r="I545">
        <v>1.2068965517241379</v>
      </c>
      <c r="J545">
        <v>1.5217391304347829</v>
      </c>
      <c r="K545">
        <v>1.2608695652173909</v>
      </c>
      <c r="L545">
        <v>3.833333333333333</v>
      </c>
      <c r="M545">
        <v>39701</v>
      </c>
      <c r="N545">
        <v>2</v>
      </c>
      <c r="O545">
        <v>3</v>
      </c>
      <c r="P545">
        <v>58</v>
      </c>
      <c r="Q545">
        <v>46</v>
      </c>
      <c r="R545">
        <v>12</v>
      </c>
      <c r="S545">
        <v>25</v>
      </c>
      <c r="T545">
        <v>1080</v>
      </c>
      <c r="U545">
        <v>275</v>
      </c>
      <c r="V545">
        <v>247268</v>
      </c>
      <c r="W545">
        <v>70</v>
      </c>
    </row>
    <row r="546" spans="1:23" x14ac:dyDescent="0.2">
      <c r="A546" t="s">
        <v>704</v>
      </c>
      <c r="B546" t="s">
        <v>157</v>
      </c>
      <c r="C546">
        <v>16.6371283531189</v>
      </c>
      <c r="D546">
        <v>524</v>
      </c>
      <c r="E546">
        <v>382</v>
      </c>
      <c r="F546">
        <v>11</v>
      </c>
      <c r="G546">
        <v>10</v>
      </c>
      <c r="H546">
        <v>67.45</v>
      </c>
      <c r="I546">
        <v>1</v>
      </c>
      <c r="J546">
        <v>1.5249999999999999</v>
      </c>
      <c r="K546">
        <v>1.5249999999999999</v>
      </c>
      <c r="L546">
        <v>4</v>
      </c>
      <c r="M546">
        <v>595</v>
      </c>
      <c r="N546">
        <v>1</v>
      </c>
      <c r="O546">
        <v>2</v>
      </c>
      <c r="P546">
        <v>61</v>
      </c>
      <c r="Q546">
        <v>40</v>
      </c>
      <c r="R546">
        <v>10</v>
      </c>
      <c r="S546">
        <v>11</v>
      </c>
      <c r="T546">
        <v>379</v>
      </c>
      <c r="U546">
        <v>92</v>
      </c>
      <c r="V546">
        <v>2698</v>
      </c>
      <c r="W546">
        <v>61</v>
      </c>
    </row>
    <row r="547" spans="1:23" x14ac:dyDescent="0.2">
      <c r="A547" t="s">
        <v>705</v>
      </c>
      <c r="B547" t="s">
        <v>157</v>
      </c>
      <c r="C547">
        <v>12.98609590530396</v>
      </c>
      <c r="D547">
        <v>462</v>
      </c>
      <c r="E547">
        <v>608</v>
      </c>
      <c r="F547">
        <v>7</v>
      </c>
      <c r="G547">
        <v>6</v>
      </c>
      <c r="H547">
        <v>6.3921568627450984</v>
      </c>
      <c r="I547">
        <v>1.3787878787878789</v>
      </c>
      <c r="J547">
        <v>1.784313725490196</v>
      </c>
      <c r="K547">
        <v>1.294117647058824</v>
      </c>
      <c r="L547">
        <v>8.5</v>
      </c>
      <c r="M547">
        <v>50</v>
      </c>
      <c r="N547">
        <v>2</v>
      </c>
      <c r="O547">
        <v>2</v>
      </c>
      <c r="P547">
        <v>66</v>
      </c>
      <c r="Q547">
        <v>51</v>
      </c>
      <c r="R547">
        <v>6</v>
      </c>
      <c r="S547">
        <v>13</v>
      </c>
      <c r="T547">
        <v>572</v>
      </c>
      <c r="U547">
        <v>66</v>
      </c>
      <c r="V547">
        <v>326</v>
      </c>
      <c r="W547">
        <v>91</v>
      </c>
    </row>
    <row r="548" spans="1:23" x14ac:dyDescent="0.2">
      <c r="A548" t="s">
        <v>706</v>
      </c>
      <c r="B548" t="s">
        <v>157</v>
      </c>
      <c r="C548">
        <v>701.40156245231628</v>
      </c>
      <c r="D548">
        <v>1510</v>
      </c>
      <c r="E548">
        <v>2750</v>
      </c>
      <c r="F548">
        <v>10</v>
      </c>
      <c r="G548">
        <v>9</v>
      </c>
      <c r="H548">
        <v>0.67924528301886788</v>
      </c>
      <c r="I548">
        <v>1</v>
      </c>
      <c r="J548">
        <v>1.4905660377358489</v>
      </c>
      <c r="K548">
        <v>1.4905660377358489</v>
      </c>
      <c r="L548">
        <v>5.8888888888888893</v>
      </c>
      <c r="M548">
        <v>8</v>
      </c>
      <c r="N548">
        <v>1</v>
      </c>
      <c r="O548">
        <v>2</v>
      </c>
      <c r="P548">
        <v>79</v>
      </c>
      <c r="Q548">
        <v>53</v>
      </c>
      <c r="R548">
        <v>9</v>
      </c>
      <c r="S548">
        <v>10</v>
      </c>
      <c r="T548">
        <v>451</v>
      </c>
      <c r="U548">
        <v>74</v>
      </c>
      <c r="V548">
        <v>36</v>
      </c>
      <c r="W548">
        <v>79</v>
      </c>
    </row>
    <row r="549" spans="1:23" x14ac:dyDescent="0.2">
      <c r="A549" t="s">
        <v>707</v>
      </c>
      <c r="B549" t="s">
        <v>157</v>
      </c>
      <c r="C549">
        <v>76.569759130477905</v>
      </c>
      <c r="D549">
        <v>2076</v>
      </c>
      <c r="E549">
        <v>5385</v>
      </c>
      <c r="F549">
        <v>10</v>
      </c>
      <c r="G549">
        <v>9</v>
      </c>
      <c r="H549">
        <v>0.67924528301886788</v>
      </c>
      <c r="I549">
        <v>1</v>
      </c>
      <c r="J549">
        <v>1.4905660377358489</v>
      </c>
      <c r="K549">
        <v>1.4905660377358489</v>
      </c>
      <c r="L549">
        <v>5.8888888888888893</v>
      </c>
      <c r="M549">
        <v>8</v>
      </c>
      <c r="N549">
        <v>1</v>
      </c>
      <c r="O549">
        <v>2</v>
      </c>
      <c r="P549">
        <v>79</v>
      </c>
      <c r="Q549">
        <v>53</v>
      </c>
      <c r="R549">
        <v>9</v>
      </c>
      <c r="S549">
        <v>10</v>
      </c>
      <c r="T549">
        <v>451</v>
      </c>
      <c r="U549">
        <v>74</v>
      </c>
      <c r="V549">
        <v>36</v>
      </c>
      <c r="W549">
        <v>79</v>
      </c>
    </row>
    <row r="550" spans="1:23" x14ac:dyDescent="0.2">
      <c r="A550" t="s">
        <v>708</v>
      </c>
      <c r="B550" t="s">
        <v>157</v>
      </c>
      <c r="C550">
        <v>1289.0104849338529</v>
      </c>
      <c r="D550">
        <v>1936</v>
      </c>
      <c r="E550">
        <v>3890</v>
      </c>
      <c r="F550">
        <v>10</v>
      </c>
      <c r="G550">
        <v>9</v>
      </c>
      <c r="H550">
        <v>0.69811320754716977</v>
      </c>
      <c r="I550">
        <v>1</v>
      </c>
      <c r="J550">
        <v>1.8867924528301889</v>
      </c>
      <c r="K550">
        <v>1.8867924528301889</v>
      </c>
      <c r="L550">
        <v>5.8888888888888893</v>
      </c>
      <c r="M550">
        <v>8</v>
      </c>
      <c r="N550">
        <v>1</v>
      </c>
      <c r="O550">
        <v>3</v>
      </c>
      <c r="P550">
        <v>100</v>
      </c>
      <c r="Q550">
        <v>53</v>
      </c>
      <c r="R550">
        <v>9</v>
      </c>
      <c r="S550">
        <v>10</v>
      </c>
      <c r="T550">
        <v>430</v>
      </c>
      <c r="U550">
        <v>68</v>
      </c>
      <c r="V550">
        <v>37</v>
      </c>
      <c r="W550">
        <v>100</v>
      </c>
    </row>
    <row r="551" spans="1:23" x14ac:dyDescent="0.2">
      <c r="A551" t="s">
        <v>709</v>
      </c>
      <c r="B551" t="s">
        <v>158</v>
      </c>
      <c r="C551" t="s">
        <v>159</v>
      </c>
      <c r="D551" t="s">
        <v>159</v>
      </c>
      <c r="E551" t="s">
        <v>159</v>
      </c>
      <c r="F551" t="s">
        <v>159</v>
      </c>
      <c r="G551" t="s">
        <v>159</v>
      </c>
      <c r="H551" t="s">
        <v>159</v>
      </c>
      <c r="I551" t="s">
        <v>159</v>
      </c>
      <c r="J551" t="s">
        <v>159</v>
      </c>
      <c r="K551" t="s">
        <v>159</v>
      </c>
      <c r="L551" t="s">
        <v>159</v>
      </c>
      <c r="M551" t="s">
        <v>159</v>
      </c>
      <c r="N551" t="s">
        <v>159</v>
      </c>
      <c r="O551" t="s">
        <v>159</v>
      </c>
      <c r="P551" t="s">
        <v>159</v>
      </c>
      <c r="Q551" t="s">
        <v>159</v>
      </c>
      <c r="R551" t="s">
        <v>159</v>
      </c>
      <c r="S551" t="s">
        <v>159</v>
      </c>
      <c r="T551" t="s">
        <v>159</v>
      </c>
      <c r="U551" t="s">
        <v>159</v>
      </c>
      <c r="V551" t="s">
        <v>159</v>
      </c>
      <c r="W551" t="s">
        <v>159</v>
      </c>
    </row>
    <row r="552" spans="1:23" x14ac:dyDescent="0.2">
      <c r="A552" t="s">
        <v>710</v>
      </c>
      <c r="B552" t="s">
        <v>157</v>
      </c>
      <c r="C552">
        <v>2.312976598739624</v>
      </c>
      <c r="D552">
        <v>253</v>
      </c>
      <c r="E552">
        <v>456</v>
      </c>
      <c r="F552">
        <v>11</v>
      </c>
      <c r="G552">
        <v>9</v>
      </c>
      <c r="H552">
        <v>2.7162162162162158</v>
      </c>
      <c r="I552">
        <v>1</v>
      </c>
      <c r="J552">
        <v>1.459459459459459</v>
      </c>
      <c r="K552">
        <v>1.459459459459459</v>
      </c>
      <c r="L552">
        <v>8.2222222222222214</v>
      </c>
      <c r="M552">
        <v>4</v>
      </c>
      <c r="N552">
        <v>1</v>
      </c>
      <c r="O552">
        <v>2</v>
      </c>
      <c r="P552">
        <v>108</v>
      </c>
      <c r="Q552">
        <v>74</v>
      </c>
      <c r="R552">
        <v>9</v>
      </c>
      <c r="S552">
        <v>11</v>
      </c>
      <c r="T552">
        <v>706</v>
      </c>
      <c r="U552">
        <v>83</v>
      </c>
      <c r="V552">
        <v>201</v>
      </c>
      <c r="W552">
        <v>108</v>
      </c>
    </row>
    <row r="553" spans="1:23" x14ac:dyDescent="0.2">
      <c r="A553" t="s">
        <v>711</v>
      </c>
      <c r="B553" t="s">
        <v>158</v>
      </c>
      <c r="C553" t="s">
        <v>159</v>
      </c>
      <c r="D553" t="s">
        <v>159</v>
      </c>
      <c r="E553" t="s">
        <v>159</v>
      </c>
      <c r="F553" t="s">
        <v>159</v>
      </c>
      <c r="G553" t="s">
        <v>159</v>
      </c>
      <c r="H553" t="s">
        <v>159</v>
      </c>
      <c r="I553" t="s">
        <v>159</v>
      </c>
      <c r="J553" t="s">
        <v>159</v>
      </c>
      <c r="K553" t="s">
        <v>159</v>
      </c>
      <c r="L553" t="s">
        <v>159</v>
      </c>
      <c r="M553" t="s">
        <v>159</v>
      </c>
      <c r="N553" t="s">
        <v>159</v>
      </c>
      <c r="O553" t="s">
        <v>159</v>
      </c>
      <c r="P553" t="s">
        <v>159</v>
      </c>
      <c r="Q553" t="s">
        <v>159</v>
      </c>
      <c r="R553" t="s">
        <v>159</v>
      </c>
      <c r="S553" t="s">
        <v>159</v>
      </c>
      <c r="T553" t="s">
        <v>159</v>
      </c>
      <c r="U553" t="s">
        <v>159</v>
      </c>
      <c r="V553" t="s">
        <v>159</v>
      </c>
      <c r="W553" t="s">
        <v>159</v>
      </c>
    </row>
    <row r="554" spans="1:23" x14ac:dyDescent="0.2">
      <c r="A554" t="s">
        <v>712</v>
      </c>
      <c r="B554" t="s">
        <v>158</v>
      </c>
      <c r="C554" t="s">
        <v>159</v>
      </c>
      <c r="D554" t="s">
        <v>159</v>
      </c>
      <c r="E554" t="s">
        <v>159</v>
      </c>
      <c r="F554" t="s">
        <v>159</v>
      </c>
      <c r="G554" t="s">
        <v>159</v>
      </c>
      <c r="H554" t="s">
        <v>159</v>
      </c>
      <c r="I554" t="s">
        <v>159</v>
      </c>
      <c r="J554" t="s">
        <v>159</v>
      </c>
      <c r="K554" t="s">
        <v>159</v>
      </c>
      <c r="L554" t="s">
        <v>159</v>
      </c>
      <c r="M554" t="s">
        <v>159</v>
      </c>
      <c r="N554" t="s">
        <v>159</v>
      </c>
      <c r="O554" t="s">
        <v>159</v>
      </c>
      <c r="P554" t="s">
        <v>159</v>
      </c>
      <c r="Q554" t="s">
        <v>159</v>
      </c>
      <c r="R554" t="s">
        <v>159</v>
      </c>
      <c r="S554" t="s">
        <v>159</v>
      </c>
      <c r="T554" t="s">
        <v>159</v>
      </c>
      <c r="U554" t="s">
        <v>159</v>
      </c>
      <c r="V554" t="s">
        <v>159</v>
      </c>
      <c r="W554" t="s">
        <v>159</v>
      </c>
    </row>
    <row r="555" spans="1:23" x14ac:dyDescent="0.2">
      <c r="A555" t="s">
        <v>713</v>
      </c>
      <c r="B555" t="s">
        <v>157</v>
      </c>
      <c r="C555">
        <v>2394.385036706924</v>
      </c>
      <c r="D555">
        <v>2689</v>
      </c>
      <c r="E555">
        <v>4596</v>
      </c>
      <c r="F555">
        <v>10</v>
      </c>
      <c r="G555">
        <v>9</v>
      </c>
      <c r="H555">
        <v>0.69811320754716977</v>
      </c>
      <c r="I555">
        <v>1</v>
      </c>
      <c r="J555">
        <v>2.0188679245283021</v>
      </c>
      <c r="K555">
        <v>2.0188679245283021</v>
      </c>
      <c r="L555">
        <v>5.8888888888888893</v>
      </c>
      <c r="M555">
        <v>8</v>
      </c>
      <c r="N555">
        <v>1</v>
      </c>
      <c r="O555">
        <v>3</v>
      </c>
      <c r="P555">
        <v>107</v>
      </c>
      <c r="Q555">
        <v>53</v>
      </c>
      <c r="R555">
        <v>9</v>
      </c>
      <c r="S555">
        <v>10</v>
      </c>
      <c r="T555">
        <v>423</v>
      </c>
      <c r="U555">
        <v>66</v>
      </c>
      <c r="V555">
        <v>37</v>
      </c>
      <c r="W555">
        <v>107</v>
      </c>
    </row>
    <row r="556" spans="1:23" x14ac:dyDescent="0.2">
      <c r="A556" t="s">
        <v>714</v>
      </c>
      <c r="B556" t="s">
        <v>158</v>
      </c>
      <c r="C556" t="s">
        <v>159</v>
      </c>
      <c r="D556" t="s">
        <v>159</v>
      </c>
      <c r="E556" t="s">
        <v>159</v>
      </c>
      <c r="F556" t="s">
        <v>159</v>
      </c>
      <c r="G556" t="s">
        <v>159</v>
      </c>
      <c r="H556" t="s">
        <v>159</v>
      </c>
      <c r="I556" t="s">
        <v>159</v>
      </c>
      <c r="J556" t="s">
        <v>159</v>
      </c>
      <c r="K556" t="s">
        <v>159</v>
      </c>
      <c r="L556" t="s">
        <v>159</v>
      </c>
      <c r="M556" t="s">
        <v>159</v>
      </c>
      <c r="N556" t="s">
        <v>159</v>
      </c>
      <c r="O556" t="s">
        <v>159</v>
      </c>
      <c r="P556" t="s">
        <v>159</v>
      </c>
      <c r="Q556" t="s">
        <v>159</v>
      </c>
      <c r="R556" t="s">
        <v>159</v>
      </c>
      <c r="S556" t="s">
        <v>159</v>
      </c>
      <c r="T556" t="s">
        <v>159</v>
      </c>
      <c r="U556" t="s">
        <v>159</v>
      </c>
      <c r="V556" t="s">
        <v>159</v>
      </c>
      <c r="W556" t="s">
        <v>159</v>
      </c>
    </row>
    <row r="557" spans="1:23" x14ac:dyDescent="0.2">
      <c r="A557" t="s">
        <v>715</v>
      </c>
      <c r="B557" t="s">
        <v>158</v>
      </c>
      <c r="C557" t="s">
        <v>159</v>
      </c>
      <c r="D557" t="s">
        <v>159</v>
      </c>
      <c r="E557" t="s">
        <v>159</v>
      </c>
      <c r="F557" t="s">
        <v>159</v>
      </c>
      <c r="G557" t="s">
        <v>159</v>
      </c>
      <c r="H557" t="s">
        <v>159</v>
      </c>
      <c r="I557" t="s">
        <v>159</v>
      </c>
      <c r="J557" t="s">
        <v>159</v>
      </c>
      <c r="K557" t="s">
        <v>159</v>
      </c>
      <c r="L557" t="s">
        <v>159</v>
      </c>
      <c r="M557" t="s">
        <v>159</v>
      </c>
      <c r="N557" t="s">
        <v>159</v>
      </c>
      <c r="O557" t="s">
        <v>159</v>
      </c>
      <c r="P557" t="s">
        <v>159</v>
      </c>
      <c r="Q557" t="s">
        <v>159</v>
      </c>
      <c r="R557" t="s">
        <v>159</v>
      </c>
      <c r="S557" t="s">
        <v>159</v>
      </c>
      <c r="T557" t="s">
        <v>159</v>
      </c>
      <c r="U557" t="s">
        <v>159</v>
      </c>
      <c r="V557" t="s">
        <v>159</v>
      </c>
      <c r="W557" t="s">
        <v>159</v>
      </c>
    </row>
    <row r="558" spans="1:23" x14ac:dyDescent="0.2">
      <c r="A558" t="s">
        <v>716</v>
      </c>
      <c r="B558" t="s">
        <v>157</v>
      </c>
      <c r="C558">
        <v>6819.1777327060699</v>
      </c>
      <c r="D558">
        <v>3193</v>
      </c>
      <c r="E558">
        <v>6748</v>
      </c>
      <c r="F558">
        <v>10</v>
      </c>
      <c r="G558">
        <v>9</v>
      </c>
      <c r="H558">
        <v>57854145192165.117</v>
      </c>
      <c r="I558">
        <v>1.029126213592233</v>
      </c>
      <c r="J558">
        <v>2.058252427184466</v>
      </c>
      <c r="K558">
        <v>2</v>
      </c>
      <c r="L558">
        <v>11.444444444444439</v>
      </c>
      <c r="M558">
        <v>1212982689600000</v>
      </c>
      <c r="N558">
        <v>2</v>
      </c>
      <c r="O558">
        <v>4</v>
      </c>
      <c r="P558">
        <v>206</v>
      </c>
      <c r="Q558">
        <v>103</v>
      </c>
      <c r="R558">
        <v>9</v>
      </c>
      <c r="S558">
        <v>19</v>
      </c>
      <c r="T558">
        <v>1745</v>
      </c>
      <c r="U558">
        <v>144</v>
      </c>
      <c r="V558">
        <v>5958976954793007</v>
      </c>
      <c r="W558">
        <v>212</v>
      </c>
    </row>
    <row r="559" spans="1:23" x14ac:dyDescent="0.2">
      <c r="A559" t="s">
        <v>717</v>
      </c>
      <c r="B559" t="s">
        <v>158</v>
      </c>
      <c r="C559" t="s">
        <v>159</v>
      </c>
      <c r="D559" t="s">
        <v>159</v>
      </c>
      <c r="E559" t="s">
        <v>159</v>
      </c>
      <c r="F559" t="s">
        <v>159</v>
      </c>
      <c r="G559" t="s">
        <v>159</v>
      </c>
      <c r="H559" t="s">
        <v>159</v>
      </c>
      <c r="I559" t="s">
        <v>159</v>
      </c>
      <c r="J559" t="s">
        <v>159</v>
      </c>
      <c r="K559" t="s">
        <v>159</v>
      </c>
      <c r="L559" t="s">
        <v>159</v>
      </c>
      <c r="M559" t="s">
        <v>159</v>
      </c>
      <c r="N559" t="s">
        <v>159</v>
      </c>
      <c r="O559" t="s">
        <v>159</v>
      </c>
      <c r="P559" t="s">
        <v>159</v>
      </c>
      <c r="Q559" t="s">
        <v>159</v>
      </c>
      <c r="R559" t="s">
        <v>159</v>
      </c>
      <c r="S559" t="s">
        <v>159</v>
      </c>
      <c r="T559" t="s">
        <v>159</v>
      </c>
      <c r="U559" t="s">
        <v>159</v>
      </c>
      <c r="V559" t="s">
        <v>159</v>
      </c>
      <c r="W559" t="s">
        <v>159</v>
      </c>
    </row>
    <row r="560" spans="1:23" x14ac:dyDescent="0.2">
      <c r="A560" t="s">
        <v>718</v>
      </c>
      <c r="B560" t="s">
        <v>157</v>
      </c>
      <c r="C560">
        <v>4.5241942405700684</v>
      </c>
      <c r="D560">
        <v>305</v>
      </c>
      <c r="E560">
        <v>608</v>
      </c>
      <c r="F560">
        <v>11</v>
      </c>
      <c r="G560">
        <v>9</v>
      </c>
      <c r="H560">
        <v>2.7162162162162158</v>
      </c>
      <c r="I560">
        <v>1</v>
      </c>
      <c r="J560">
        <v>1.459459459459459</v>
      </c>
      <c r="K560">
        <v>1.459459459459459</v>
      </c>
      <c r="L560">
        <v>8.2222222222222214</v>
      </c>
      <c r="M560">
        <v>4</v>
      </c>
      <c r="N560">
        <v>1</v>
      </c>
      <c r="O560">
        <v>2</v>
      </c>
      <c r="P560">
        <v>108</v>
      </c>
      <c r="Q560">
        <v>74</v>
      </c>
      <c r="R560">
        <v>9</v>
      </c>
      <c r="S560">
        <v>11</v>
      </c>
      <c r="T560">
        <v>706</v>
      </c>
      <c r="U560">
        <v>83</v>
      </c>
      <c r="V560">
        <v>201</v>
      </c>
      <c r="W560">
        <v>108</v>
      </c>
    </row>
    <row r="561" spans="1:23" x14ac:dyDescent="0.2">
      <c r="A561" t="s">
        <v>719</v>
      </c>
      <c r="B561" t="s">
        <v>157</v>
      </c>
      <c r="C561">
        <v>180.31057834625241</v>
      </c>
      <c r="D561">
        <v>41</v>
      </c>
      <c r="E561">
        <v>3301</v>
      </c>
      <c r="F561">
        <v>4</v>
      </c>
      <c r="G561">
        <v>4</v>
      </c>
      <c r="H561">
        <v>141023.69230769231</v>
      </c>
      <c r="I561">
        <v>1.596491228070176</v>
      </c>
      <c r="J561">
        <v>3.5</v>
      </c>
      <c r="K561">
        <v>2.192307692307693</v>
      </c>
      <c r="L561">
        <v>13</v>
      </c>
      <c r="M561">
        <v>2985984</v>
      </c>
      <c r="N561">
        <v>3</v>
      </c>
      <c r="O561">
        <v>3</v>
      </c>
      <c r="P561">
        <v>114</v>
      </c>
      <c r="Q561">
        <v>52</v>
      </c>
      <c r="R561">
        <v>4</v>
      </c>
      <c r="S561">
        <v>12</v>
      </c>
      <c r="T561">
        <v>442</v>
      </c>
      <c r="U561">
        <v>26</v>
      </c>
      <c r="V561">
        <v>7333232</v>
      </c>
      <c r="W561">
        <v>182</v>
      </c>
    </row>
    <row r="562" spans="1:23" x14ac:dyDescent="0.2">
      <c r="A562" t="s">
        <v>720</v>
      </c>
      <c r="B562" t="s">
        <v>157</v>
      </c>
      <c r="C562">
        <v>158.51026916503909</v>
      </c>
      <c r="D562">
        <v>633</v>
      </c>
      <c r="E562">
        <v>445</v>
      </c>
      <c r="F562">
        <v>11</v>
      </c>
      <c r="G562">
        <v>10</v>
      </c>
      <c r="H562">
        <v>67.424999999999997</v>
      </c>
      <c r="I562">
        <v>1</v>
      </c>
      <c r="J562">
        <v>1.5249999999999999</v>
      </c>
      <c r="K562">
        <v>1.5249999999999999</v>
      </c>
      <c r="L562">
        <v>4</v>
      </c>
      <c r="M562">
        <v>595</v>
      </c>
      <c r="N562">
        <v>1</v>
      </c>
      <c r="O562">
        <v>2</v>
      </c>
      <c r="P562">
        <v>61</v>
      </c>
      <c r="Q562">
        <v>40</v>
      </c>
      <c r="R562">
        <v>10</v>
      </c>
      <c r="S562">
        <v>11</v>
      </c>
      <c r="T562">
        <v>379</v>
      </c>
      <c r="U562">
        <v>92</v>
      </c>
      <c r="V562">
        <v>2697</v>
      </c>
      <c r="W562">
        <v>61</v>
      </c>
    </row>
    <row r="563" spans="1:23" x14ac:dyDescent="0.2">
      <c r="A563" t="s">
        <v>721</v>
      </c>
      <c r="B563" t="s">
        <v>157</v>
      </c>
      <c r="C563">
        <v>1833.791260004044</v>
      </c>
      <c r="D563">
        <v>2702</v>
      </c>
      <c r="E563">
        <v>3793</v>
      </c>
      <c r="F563">
        <v>10</v>
      </c>
      <c r="G563">
        <v>9</v>
      </c>
      <c r="H563">
        <v>0.69811320754716977</v>
      </c>
      <c r="I563">
        <v>1</v>
      </c>
      <c r="J563">
        <v>2.0188679245283021</v>
      </c>
      <c r="K563">
        <v>2.0188679245283021</v>
      </c>
      <c r="L563">
        <v>5.8888888888888893</v>
      </c>
      <c r="M563">
        <v>8</v>
      </c>
      <c r="N563">
        <v>1</v>
      </c>
      <c r="O563">
        <v>3</v>
      </c>
      <c r="P563">
        <v>107</v>
      </c>
      <c r="Q563">
        <v>53</v>
      </c>
      <c r="R563">
        <v>9</v>
      </c>
      <c r="S563">
        <v>10</v>
      </c>
      <c r="T563">
        <v>423</v>
      </c>
      <c r="U563">
        <v>66</v>
      </c>
      <c r="V563">
        <v>37</v>
      </c>
      <c r="W563">
        <v>107</v>
      </c>
    </row>
    <row r="564" spans="1:23" x14ac:dyDescent="0.2">
      <c r="A564" t="s">
        <v>722</v>
      </c>
      <c r="B564" t="s">
        <v>157</v>
      </c>
      <c r="C564">
        <v>14.15609979629517</v>
      </c>
      <c r="D564">
        <v>414</v>
      </c>
      <c r="E564">
        <v>606</v>
      </c>
      <c r="F564">
        <v>9</v>
      </c>
      <c r="G564">
        <v>8</v>
      </c>
      <c r="H564">
        <v>0.65116279069767447</v>
      </c>
      <c r="I564">
        <v>1</v>
      </c>
      <c r="J564">
        <v>1.441860465116279</v>
      </c>
      <c r="K564">
        <v>1.441860465116279</v>
      </c>
      <c r="L564">
        <v>5.375</v>
      </c>
      <c r="M564">
        <v>7</v>
      </c>
      <c r="N564">
        <v>1</v>
      </c>
      <c r="O564">
        <v>2</v>
      </c>
      <c r="P564">
        <v>62</v>
      </c>
      <c r="Q564">
        <v>43</v>
      </c>
      <c r="R564">
        <v>8</v>
      </c>
      <c r="S564">
        <v>9</v>
      </c>
      <c r="T564">
        <v>325</v>
      </c>
      <c r="U564">
        <v>58</v>
      </c>
      <c r="V564">
        <v>28</v>
      </c>
      <c r="W564">
        <v>62</v>
      </c>
    </row>
    <row r="565" spans="1:23" x14ac:dyDescent="0.2">
      <c r="A565" t="s">
        <v>723</v>
      </c>
      <c r="B565" t="s">
        <v>157</v>
      </c>
      <c r="C565">
        <v>3.7402808666229248</v>
      </c>
      <c r="D565">
        <v>291</v>
      </c>
      <c r="E565">
        <v>611</v>
      </c>
      <c r="F565">
        <v>11</v>
      </c>
      <c r="G565">
        <v>9</v>
      </c>
      <c r="H565">
        <v>2.7162162162162158</v>
      </c>
      <c r="I565">
        <v>1</v>
      </c>
      <c r="J565">
        <v>1.459459459459459</v>
      </c>
      <c r="K565">
        <v>1.459459459459459</v>
      </c>
      <c r="L565">
        <v>8.2222222222222214</v>
      </c>
      <c r="M565">
        <v>4</v>
      </c>
      <c r="N565">
        <v>1</v>
      </c>
      <c r="O565">
        <v>2</v>
      </c>
      <c r="P565">
        <v>108</v>
      </c>
      <c r="Q565">
        <v>74</v>
      </c>
      <c r="R565">
        <v>9</v>
      </c>
      <c r="S565">
        <v>11</v>
      </c>
      <c r="T565">
        <v>706</v>
      </c>
      <c r="U565">
        <v>83</v>
      </c>
      <c r="V565">
        <v>201</v>
      </c>
      <c r="W565">
        <v>108</v>
      </c>
    </row>
    <row r="566" spans="1:23" x14ac:dyDescent="0.2">
      <c r="A566" t="s">
        <v>724</v>
      </c>
      <c r="B566" t="s">
        <v>157</v>
      </c>
      <c r="C566">
        <v>4.8377399444580078</v>
      </c>
      <c r="D566">
        <v>141</v>
      </c>
      <c r="E566">
        <v>951</v>
      </c>
      <c r="F566">
        <v>8</v>
      </c>
      <c r="G566">
        <v>6</v>
      </c>
      <c r="H566">
        <v>0</v>
      </c>
      <c r="I566">
        <v>1.056179775280899</v>
      </c>
      <c r="J566">
        <v>2.9375</v>
      </c>
      <c r="K566">
        <v>2.78125</v>
      </c>
      <c r="L566">
        <v>5.333333333333333</v>
      </c>
      <c r="M566">
        <v>0</v>
      </c>
      <c r="N566">
        <v>6</v>
      </c>
      <c r="O566">
        <v>5</v>
      </c>
      <c r="P566">
        <v>89</v>
      </c>
      <c r="Q566">
        <v>32</v>
      </c>
      <c r="R566">
        <v>6</v>
      </c>
      <c r="S566">
        <v>13</v>
      </c>
      <c r="T566">
        <v>322</v>
      </c>
      <c r="U566">
        <v>57</v>
      </c>
      <c r="V566">
        <v>0</v>
      </c>
      <c r="W566">
        <v>94</v>
      </c>
    </row>
    <row r="567" spans="1:23" x14ac:dyDescent="0.2">
      <c r="A567" t="s">
        <v>725</v>
      </c>
      <c r="B567" t="s">
        <v>158</v>
      </c>
      <c r="C567" t="s">
        <v>159</v>
      </c>
      <c r="D567" t="s">
        <v>159</v>
      </c>
      <c r="E567" t="s">
        <v>159</v>
      </c>
      <c r="F567" t="s">
        <v>159</v>
      </c>
      <c r="G567" t="s">
        <v>159</v>
      </c>
      <c r="H567" t="s">
        <v>159</v>
      </c>
      <c r="I567" t="s">
        <v>159</v>
      </c>
      <c r="J567" t="s">
        <v>159</v>
      </c>
      <c r="K567" t="s">
        <v>159</v>
      </c>
      <c r="L567" t="s">
        <v>159</v>
      </c>
      <c r="M567" t="s">
        <v>159</v>
      </c>
      <c r="N567" t="s">
        <v>159</v>
      </c>
      <c r="O567" t="s">
        <v>159</v>
      </c>
      <c r="P567" t="s">
        <v>159</v>
      </c>
      <c r="Q567" t="s">
        <v>159</v>
      </c>
      <c r="R567" t="s">
        <v>159</v>
      </c>
      <c r="S567" t="s">
        <v>159</v>
      </c>
      <c r="T567" t="s">
        <v>159</v>
      </c>
      <c r="U567" t="s">
        <v>159</v>
      </c>
      <c r="V567" t="s">
        <v>159</v>
      </c>
      <c r="W567" t="s">
        <v>159</v>
      </c>
    </row>
    <row r="568" spans="1:23" x14ac:dyDescent="0.2">
      <c r="A568" t="s">
        <v>726</v>
      </c>
      <c r="B568" t="s">
        <v>157</v>
      </c>
      <c r="C568">
        <v>257.02901268005371</v>
      </c>
      <c r="D568">
        <v>1248</v>
      </c>
      <c r="E568">
        <v>1718</v>
      </c>
      <c r="F568">
        <v>11</v>
      </c>
      <c r="G568">
        <v>10</v>
      </c>
      <c r="H568">
        <v>66.05</v>
      </c>
      <c r="I568">
        <v>1</v>
      </c>
      <c r="J568">
        <v>1.5249999999999999</v>
      </c>
      <c r="K568">
        <v>1.5249999999999999</v>
      </c>
      <c r="L568">
        <v>4</v>
      </c>
      <c r="M568">
        <v>595</v>
      </c>
      <c r="N568">
        <v>1</v>
      </c>
      <c r="O568">
        <v>2</v>
      </c>
      <c r="P568">
        <v>61</v>
      </c>
      <c r="Q568">
        <v>40</v>
      </c>
      <c r="R568">
        <v>10</v>
      </c>
      <c r="S568">
        <v>11</v>
      </c>
      <c r="T568">
        <v>379</v>
      </c>
      <c r="U568">
        <v>93</v>
      </c>
      <c r="V568">
        <v>2642</v>
      </c>
      <c r="W568">
        <v>61</v>
      </c>
    </row>
    <row r="569" spans="1:23" x14ac:dyDescent="0.2">
      <c r="A569" t="s">
        <v>727</v>
      </c>
      <c r="B569" t="s">
        <v>158</v>
      </c>
      <c r="C569" t="s">
        <v>159</v>
      </c>
      <c r="D569" t="s">
        <v>159</v>
      </c>
      <c r="E569" t="s">
        <v>159</v>
      </c>
      <c r="F569" t="s">
        <v>159</v>
      </c>
      <c r="G569" t="s">
        <v>159</v>
      </c>
      <c r="H569" t="s">
        <v>159</v>
      </c>
      <c r="I569" t="s">
        <v>159</v>
      </c>
      <c r="J569" t="s">
        <v>159</v>
      </c>
      <c r="K569" t="s">
        <v>159</v>
      </c>
      <c r="L569" t="s">
        <v>159</v>
      </c>
      <c r="M569" t="s">
        <v>159</v>
      </c>
      <c r="N569" t="s">
        <v>159</v>
      </c>
      <c r="O569" t="s">
        <v>159</v>
      </c>
      <c r="P569" t="s">
        <v>159</v>
      </c>
      <c r="Q569" t="s">
        <v>159</v>
      </c>
      <c r="R569" t="s">
        <v>159</v>
      </c>
      <c r="S569" t="s">
        <v>159</v>
      </c>
      <c r="T569" t="s">
        <v>159</v>
      </c>
      <c r="U569" t="s">
        <v>159</v>
      </c>
      <c r="V569" t="s">
        <v>159</v>
      </c>
      <c r="W569" t="s">
        <v>159</v>
      </c>
    </row>
    <row r="570" spans="1:23" x14ac:dyDescent="0.2">
      <c r="A570" t="s">
        <v>728</v>
      </c>
      <c r="B570" t="s">
        <v>157</v>
      </c>
      <c r="C570">
        <v>2685.1402173042302</v>
      </c>
      <c r="D570">
        <v>2854</v>
      </c>
      <c r="E570">
        <v>5949</v>
      </c>
      <c r="F570">
        <v>10</v>
      </c>
      <c r="G570">
        <v>9</v>
      </c>
      <c r="H570">
        <v>58996447813524.344</v>
      </c>
      <c r="I570">
        <v>1.033175355450237</v>
      </c>
      <c r="J570">
        <v>2.116504854368932</v>
      </c>
      <c r="K570">
        <v>2.0485436893203879</v>
      </c>
      <c r="L570">
        <v>11.444444444444439</v>
      </c>
      <c r="M570">
        <v>1212982689600000</v>
      </c>
      <c r="N570">
        <v>2</v>
      </c>
      <c r="O570">
        <v>4</v>
      </c>
      <c r="P570">
        <v>211</v>
      </c>
      <c r="Q570">
        <v>103</v>
      </c>
      <c r="R570">
        <v>9</v>
      </c>
      <c r="S570">
        <v>19</v>
      </c>
      <c r="T570">
        <v>1739</v>
      </c>
      <c r="U570">
        <v>145</v>
      </c>
      <c r="V570">
        <v>6076634124793007</v>
      </c>
      <c r="W570">
        <v>218</v>
      </c>
    </row>
    <row r="571" spans="1:23" x14ac:dyDescent="0.2">
      <c r="A571" t="s">
        <v>729</v>
      </c>
      <c r="B571" t="s">
        <v>157</v>
      </c>
      <c r="C571">
        <v>88.116001129150391</v>
      </c>
      <c r="D571">
        <v>663</v>
      </c>
      <c r="E571">
        <v>503</v>
      </c>
      <c r="F571">
        <v>11</v>
      </c>
      <c r="G571">
        <v>10</v>
      </c>
      <c r="H571">
        <v>151.30000000000001</v>
      </c>
      <c r="I571">
        <v>1</v>
      </c>
      <c r="J571">
        <v>1.5249999999999999</v>
      </c>
      <c r="K571">
        <v>1.5249999999999999</v>
      </c>
      <c r="L571">
        <v>4</v>
      </c>
      <c r="M571">
        <v>855</v>
      </c>
      <c r="N571">
        <v>1</v>
      </c>
      <c r="O571">
        <v>2</v>
      </c>
      <c r="P571">
        <v>61</v>
      </c>
      <c r="Q571">
        <v>40</v>
      </c>
      <c r="R571">
        <v>10</v>
      </c>
      <c r="S571">
        <v>11</v>
      </c>
      <c r="T571">
        <v>379</v>
      </c>
      <c r="U571">
        <v>92</v>
      </c>
      <c r="V571">
        <v>6052</v>
      </c>
      <c r="W571">
        <v>61</v>
      </c>
    </row>
    <row r="572" spans="1:23" x14ac:dyDescent="0.2">
      <c r="A572" t="s">
        <v>730</v>
      </c>
      <c r="B572" t="s">
        <v>157</v>
      </c>
      <c r="C572">
        <v>122.91399431228641</v>
      </c>
      <c r="D572">
        <v>143</v>
      </c>
      <c r="E572">
        <v>7620</v>
      </c>
      <c r="F572">
        <v>7</v>
      </c>
      <c r="G572">
        <v>4</v>
      </c>
      <c r="H572">
        <v>9</v>
      </c>
      <c r="I572">
        <v>1.142857142857143</v>
      </c>
      <c r="J572">
        <v>4</v>
      </c>
      <c r="K572">
        <v>3.5</v>
      </c>
      <c r="L572">
        <v>24</v>
      </c>
      <c r="M572">
        <v>24</v>
      </c>
      <c r="N572">
        <v>2</v>
      </c>
      <c r="O572">
        <v>5</v>
      </c>
      <c r="P572">
        <v>336</v>
      </c>
      <c r="Q572">
        <v>96</v>
      </c>
      <c r="R572">
        <v>4</v>
      </c>
      <c r="S572">
        <v>11</v>
      </c>
      <c r="T572">
        <v>672</v>
      </c>
      <c r="U572">
        <v>20</v>
      </c>
      <c r="V572">
        <v>864</v>
      </c>
      <c r="W572">
        <v>384</v>
      </c>
    </row>
    <row r="573" spans="1:23" x14ac:dyDescent="0.2">
      <c r="A573" t="s">
        <v>731</v>
      </c>
      <c r="B573" t="s">
        <v>157</v>
      </c>
      <c r="C573">
        <v>3704.6436154842381</v>
      </c>
      <c r="D573">
        <v>16483</v>
      </c>
      <c r="E573">
        <v>71974</v>
      </c>
      <c r="F573">
        <v>10</v>
      </c>
      <c r="G573">
        <v>9</v>
      </c>
      <c r="H573">
        <v>154787.61904761911</v>
      </c>
      <c r="I573">
        <v>1.493333333333333</v>
      </c>
      <c r="J573">
        <v>2.666666666666667</v>
      </c>
      <c r="K573">
        <v>1.785714285714286</v>
      </c>
      <c r="L573">
        <v>4.666666666666667</v>
      </c>
      <c r="M573">
        <v>1000000</v>
      </c>
      <c r="N573">
        <v>2</v>
      </c>
      <c r="O573">
        <v>5</v>
      </c>
      <c r="P573">
        <v>75</v>
      </c>
      <c r="Q573">
        <v>42</v>
      </c>
      <c r="R573">
        <v>9</v>
      </c>
      <c r="S573">
        <v>19</v>
      </c>
      <c r="T573">
        <v>686</v>
      </c>
      <c r="U573">
        <v>142</v>
      </c>
      <c r="V573">
        <v>6501080</v>
      </c>
      <c r="W573">
        <v>112</v>
      </c>
    </row>
    <row r="574" spans="1:23" x14ac:dyDescent="0.2">
      <c r="A574" t="s">
        <v>732</v>
      </c>
      <c r="B574" t="s">
        <v>157</v>
      </c>
      <c r="C574">
        <v>10.44503259658814</v>
      </c>
      <c r="D574">
        <v>118</v>
      </c>
      <c r="E574">
        <v>665</v>
      </c>
      <c r="F574">
        <v>8</v>
      </c>
      <c r="G574">
        <v>6</v>
      </c>
      <c r="H574">
        <v>0</v>
      </c>
      <c r="I574">
        <v>1.055555555555556</v>
      </c>
      <c r="J574">
        <v>2.96875</v>
      </c>
      <c r="K574">
        <v>2.8125</v>
      </c>
      <c r="L574">
        <v>5.333333333333333</v>
      </c>
      <c r="M574">
        <v>0</v>
      </c>
      <c r="N574">
        <v>6</v>
      </c>
      <c r="O574">
        <v>5</v>
      </c>
      <c r="P574">
        <v>90</v>
      </c>
      <c r="Q574">
        <v>32</v>
      </c>
      <c r="R574">
        <v>6</v>
      </c>
      <c r="S574">
        <v>13</v>
      </c>
      <c r="T574">
        <v>321</v>
      </c>
      <c r="U574">
        <v>57</v>
      </c>
      <c r="V574">
        <v>0</v>
      </c>
      <c r="W574">
        <v>95</v>
      </c>
    </row>
    <row r="575" spans="1:23" x14ac:dyDescent="0.2">
      <c r="A575" t="s">
        <v>733</v>
      </c>
      <c r="B575" t="s">
        <v>157</v>
      </c>
      <c r="C575">
        <v>200.21012234687811</v>
      </c>
      <c r="D575">
        <v>618</v>
      </c>
      <c r="E575">
        <v>1249</v>
      </c>
      <c r="F575">
        <v>9</v>
      </c>
      <c r="G575">
        <v>8</v>
      </c>
      <c r="H575">
        <v>1.5166666666666671</v>
      </c>
      <c r="I575">
        <v>1.122222222222222</v>
      </c>
      <c r="J575">
        <v>1.6833333333333329</v>
      </c>
      <c r="K575">
        <v>1.5</v>
      </c>
      <c r="L575">
        <v>7.5</v>
      </c>
      <c r="M575">
        <v>2</v>
      </c>
      <c r="N575">
        <v>2</v>
      </c>
      <c r="O575">
        <v>2</v>
      </c>
      <c r="P575">
        <v>90</v>
      </c>
      <c r="Q575">
        <v>60</v>
      </c>
      <c r="R575">
        <v>8</v>
      </c>
      <c r="S575">
        <v>17</v>
      </c>
      <c r="T575">
        <v>919</v>
      </c>
      <c r="U575">
        <v>121</v>
      </c>
      <c r="V575">
        <v>91</v>
      </c>
      <c r="W575">
        <v>101</v>
      </c>
    </row>
    <row r="576" spans="1:23" x14ac:dyDescent="0.2">
      <c r="A576" t="s">
        <v>734</v>
      </c>
      <c r="B576" t="s">
        <v>157</v>
      </c>
      <c r="C576">
        <v>11.68353319168091</v>
      </c>
      <c r="D576">
        <v>11736</v>
      </c>
      <c r="E576">
        <v>23771</v>
      </c>
      <c r="F576">
        <v>17</v>
      </c>
      <c r="G576">
        <v>16</v>
      </c>
      <c r="H576">
        <v>0</v>
      </c>
      <c r="I576">
        <v>1.032520325203252</v>
      </c>
      <c r="J576">
        <v>1.984375</v>
      </c>
      <c r="K576">
        <v>1.921875</v>
      </c>
      <c r="L576">
        <v>4</v>
      </c>
      <c r="M576">
        <v>0</v>
      </c>
      <c r="N576">
        <v>2</v>
      </c>
      <c r="O576">
        <v>2</v>
      </c>
      <c r="P576">
        <v>123</v>
      </c>
      <c r="Q576">
        <v>64</v>
      </c>
      <c r="R576">
        <v>16</v>
      </c>
      <c r="S576">
        <v>21</v>
      </c>
      <c r="T576">
        <v>1217</v>
      </c>
      <c r="U576">
        <v>304</v>
      </c>
      <c r="V576">
        <v>0</v>
      </c>
      <c r="W576">
        <v>127</v>
      </c>
    </row>
    <row r="577" spans="1:23" x14ac:dyDescent="0.2">
      <c r="A577" t="s">
        <v>735</v>
      </c>
      <c r="B577" t="s">
        <v>157</v>
      </c>
      <c r="C577">
        <v>7.0885074138641357</v>
      </c>
      <c r="D577">
        <v>312</v>
      </c>
      <c r="E577">
        <v>263</v>
      </c>
      <c r="F577">
        <v>8</v>
      </c>
      <c r="G577">
        <v>7</v>
      </c>
      <c r="H577">
        <v>0.6470588235294118</v>
      </c>
      <c r="I577">
        <v>1</v>
      </c>
      <c r="J577">
        <v>1.8235294117647061</v>
      </c>
      <c r="K577">
        <v>1.8235294117647061</v>
      </c>
      <c r="L577">
        <v>4.8571428571428568</v>
      </c>
      <c r="M577">
        <v>6</v>
      </c>
      <c r="N577">
        <v>1</v>
      </c>
      <c r="O577">
        <v>3</v>
      </c>
      <c r="P577">
        <v>62</v>
      </c>
      <c r="Q577">
        <v>34</v>
      </c>
      <c r="R577">
        <v>7</v>
      </c>
      <c r="S577">
        <v>8</v>
      </c>
      <c r="T577">
        <v>210</v>
      </c>
      <c r="U577">
        <v>38</v>
      </c>
      <c r="V577">
        <v>22</v>
      </c>
      <c r="W577">
        <v>62</v>
      </c>
    </row>
    <row r="578" spans="1:23" x14ac:dyDescent="0.2">
      <c r="A578" t="s">
        <v>736</v>
      </c>
      <c r="B578" t="s">
        <v>157</v>
      </c>
      <c r="C578">
        <v>1413.0917541980741</v>
      </c>
      <c r="D578">
        <v>2402</v>
      </c>
      <c r="E578">
        <v>3339</v>
      </c>
      <c r="F578">
        <v>10</v>
      </c>
      <c r="G578">
        <v>9</v>
      </c>
      <c r="H578">
        <v>0.69811320754716977</v>
      </c>
      <c r="I578">
        <v>1</v>
      </c>
      <c r="J578">
        <v>2.0188679245283021</v>
      </c>
      <c r="K578">
        <v>2.0188679245283021</v>
      </c>
      <c r="L578">
        <v>5.8888888888888893</v>
      </c>
      <c r="M578">
        <v>8</v>
      </c>
      <c r="N578">
        <v>1</v>
      </c>
      <c r="O578">
        <v>3</v>
      </c>
      <c r="P578">
        <v>107</v>
      </c>
      <c r="Q578">
        <v>53</v>
      </c>
      <c r="R578">
        <v>9</v>
      </c>
      <c r="S578">
        <v>10</v>
      </c>
      <c r="T578">
        <v>423</v>
      </c>
      <c r="U578">
        <v>66</v>
      </c>
      <c r="V578">
        <v>37</v>
      </c>
      <c r="W578">
        <v>107</v>
      </c>
    </row>
    <row r="579" spans="1:23" x14ac:dyDescent="0.2">
      <c r="A579" t="s">
        <v>737</v>
      </c>
      <c r="B579" t="s">
        <v>158</v>
      </c>
      <c r="C579" t="s">
        <v>159</v>
      </c>
      <c r="D579" t="s">
        <v>159</v>
      </c>
      <c r="E579" t="s">
        <v>159</v>
      </c>
      <c r="F579" t="s">
        <v>159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  <c r="L579" t="s">
        <v>159</v>
      </c>
      <c r="M579" t="s">
        <v>159</v>
      </c>
      <c r="N579" t="s">
        <v>159</v>
      </c>
      <c r="O579" t="s">
        <v>159</v>
      </c>
      <c r="P579" t="s">
        <v>159</v>
      </c>
      <c r="Q579" t="s">
        <v>159</v>
      </c>
      <c r="R579" t="s">
        <v>159</v>
      </c>
      <c r="S579" t="s">
        <v>159</v>
      </c>
      <c r="T579" t="s">
        <v>159</v>
      </c>
      <c r="U579" t="s">
        <v>159</v>
      </c>
      <c r="V579" t="s">
        <v>159</v>
      </c>
      <c r="W579" t="s">
        <v>159</v>
      </c>
    </row>
    <row r="580" spans="1:23" x14ac:dyDescent="0.2">
      <c r="A580" t="s">
        <v>738</v>
      </c>
      <c r="B580" t="s">
        <v>157</v>
      </c>
      <c r="C580">
        <v>2.529823780059814</v>
      </c>
      <c r="D580">
        <v>254</v>
      </c>
      <c r="E580">
        <v>462</v>
      </c>
      <c r="F580">
        <v>11</v>
      </c>
      <c r="G580">
        <v>9</v>
      </c>
      <c r="H580">
        <v>2.7162162162162158</v>
      </c>
      <c r="I580">
        <v>1</v>
      </c>
      <c r="J580">
        <v>1.459459459459459</v>
      </c>
      <c r="K580">
        <v>1.459459459459459</v>
      </c>
      <c r="L580">
        <v>8.2222222222222214</v>
      </c>
      <c r="M580">
        <v>4</v>
      </c>
      <c r="N580">
        <v>1</v>
      </c>
      <c r="O580">
        <v>2</v>
      </c>
      <c r="P580">
        <v>108</v>
      </c>
      <c r="Q580">
        <v>74</v>
      </c>
      <c r="R580">
        <v>9</v>
      </c>
      <c r="S580">
        <v>11</v>
      </c>
      <c r="T580">
        <v>706</v>
      </c>
      <c r="U580">
        <v>83</v>
      </c>
      <c r="V580">
        <v>201</v>
      </c>
      <c r="W580">
        <v>108</v>
      </c>
    </row>
    <row r="581" spans="1:23" x14ac:dyDescent="0.2">
      <c r="A581" t="s">
        <v>739</v>
      </c>
      <c r="B581" t="s">
        <v>157</v>
      </c>
      <c r="C581">
        <v>7.2830324172973633</v>
      </c>
      <c r="D581">
        <v>9661</v>
      </c>
      <c r="E581">
        <v>17396</v>
      </c>
      <c r="F581">
        <v>17</v>
      </c>
      <c r="G581">
        <v>16</v>
      </c>
      <c r="H581">
        <v>0</v>
      </c>
      <c r="I581">
        <v>1.032520325203252</v>
      </c>
      <c r="J581">
        <v>1.984375</v>
      </c>
      <c r="K581">
        <v>1.921875</v>
      </c>
      <c r="L581">
        <v>4</v>
      </c>
      <c r="M581">
        <v>0</v>
      </c>
      <c r="N581">
        <v>2</v>
      </c>
      <c r="O581">
        <v>2</v>
      </c>
      <c r="P581">
        <v>123</v>
      </c>
      <c r="Q581">
        <v>64</v>
      </c>
      <c r="R581">
        <v>16</v>
      </c>
      <c r="S581">
        <v>21</v>
      </c>
      <c r="T581">
        <v>1217</v>
      </c>
      <c r="U581">
        <v>304</v>
      </c>
      <c r="V581">
        <v>0</v>
      </c>
      <c r="W581">
        <v>127</v>
      </c>
    </row>
    <row r="582" spans="1:23" x14ac:dyDescent="0.2">
      <c r="A582" t="s">
        <v>740</v>
      </c>
      <c r="B582" t="s">
        <v>157</v>
      </c>
      <c r="C582">
        <v>8.7080507278442383</v>
      </c>
      <c r="D582">
        <v>10295</v>
      </c>
      <c r="E582">
        <v>22108</v>
      </c>
      <c r="F582">
        <v>17</v>
      </c>
      <c r="G582">
        <v>16</v>
      </c>
      <c r="H582">
        <v>0</v>
      </c>
      <c r="I582">
        <v>1.032520325203252</v>
      </c>
      <c r="J582">
        <v>1.984375</v>
      </c>
      <c r="K582">
        <v>1.921875</v>
      </c>
      <c r="L582">
        <v>4</v>
      </c>
      <c r="M582">
        <v>0</v>
      </c>
      <c r="N582">
        <v>2</v>
      </c>
      <c r="O582">
        <v>2</v>
      </c>
      <c r="P582">
        <v>123</v>
      </c>
      <c r="Q582">
        <v>64</v>
      </c>
      <c r="R582">
        <v>16</v>
      </c>
      <c r="S582">
        <v>21</v>
      </c>
      <c r="T582">
        <v>1217</v>
      </c>
      <c r="U582">
        <v>304</v>
      </c>
      <c r="V582">
        <v>0</v>
      </c>
      <c r="W582">
        <v>127</v>
      </c>
    </row>
    <row r="583" spans="1:23" x14ac:dyDescent="0.2">
      <c r="A583" t="s">
        <v>741</v>
      </c>
      <c r="B583" t="s">
        <v>157</v>
      </c>
      <c r="C583">
        <v>26.416259050369259</v>
      </c>
      <c r="D583">
        <v>270</v>
      </c>
      <c r="E583">
        <v>407</v>
      </c>
      <c r="F583">
        <v>8</v>
      </c>
      <c r="G583">
        <v>7</v>
      </c>
      <c r="H583">
        <v>1.5106382978723401</v>
      </c>
      <c r="I583">
        <v>1.130434782608696</v>
      </c>
      <c r="J583">
        <v>1.6595744680851059</v>
      </c>
      <c r="K583">
        <v>1.468085106382979</v>
      </c>
      <c r="L583">
        <v>6.7142857142857144</v>
      </c>
      <c r="M583">
        <v>2</v>
      </c>
      <c r="N583">
        <v>2</v>
      </c>
      <c r="O583">
        <v>2</v>
      </c>
      <c r="P583">
        <v>69</v>
      </c>
      <c r="Q583">
        <v>47</v>
      </c>
      <c r="R583">
        <v>7</v>
      </c>
      <c r="S583">
        <v>15</v>
      </c>
      <c r="T583">
        <v>627</v>
      </c>
      <c r="U583">
        <v>92</v>
      </c>
      <c r="V583">
        <v>71</v>
      </c>
      <c r="W583">
        <v>78</v>
      </c>
    </row>
    <row r="584" spans="1:23" x14ac:dyDescent="0.2">
      <c r="A584" t="s">
        <v>742</v>
      </c>
      <c r="B584" t="s">
        <v>157</v>
      </c>
      <c r="C584">
        <v>259.78267335891718</v>
      </c>
      <c r="D584">
        <v>1687</v>
      </c>
      <c r="E584">
        <v>3020</v>
      </c>
      <c r="F584">
        <v>9</v>
      </c>
      <c r="G584">
        <v>8</v>
      </c>
      <c r="H584">
        <v>0.67441860465116277</v>
      </c>
      <c r="I584">
        <v>1</v>
      </c>
      <c r="J584">
        <v>1.7906976744186049</v>
      </c>
      <c r="K584">
        <v>1.7906976744186049</v>
      </c>
      <c r="L584">
        <v>5.375</v>
      </c>
      <c r="M584">
        <v>7</v>
      </c>
      <c r="N584">
        <v>1</v>
      </c>
      <c r="O584">
        <v>3</v>
      </c>
      <c r="P584">
        <v>77</v>
      </c>
      <c r="Q584">
        <v>43</v>
      </c>
      <c r="R584">
        <v>8</v>
      </c>
      <c r="S584">
        <v>9</v>
      </c>
      <c r="T584">
        <v>310</v>
      </c>
      <c r="U584">
        <v>52</v>
      </c>
      <c r="V584">
        <v>29</v>
      </c>
      <c r="W584">
        <v>77</v>
      </c>
    </row>
    <row r="585" spans="1:23" x14ac:dyDescent="0.2">
      <c r="A585" t="s">
        <v>743</v>
      </c>
      <c r="B585" t="s">
        <v>157</v>
      </c>
      <c r="C585">
        <v>2.3801896572113042</v>
      </c>
      <c r="D585">
        <v>142</v>
      </c>
      <c r="E585">
        <v>125</v>
      </c>
      <c r="F585">
        <v>7</v>
      </c>
      <c r="G585">
        <v>6</v>
      </c>
      <c r="H585">
        <v>5070.1585365853662</v>
      </c>
      <c r="I585">
        <v>1</v>
      </c>
      <c r="J585">
        <v>1.4390243902439019</v>
      </c>
      <c r="K585">
        <v>1.4390243902439019</v>
      </c>
      <c r="L585">
        <v>13.66666666666667</v>
      </c>
      <c r="M585">
        <v>57013</v>
      </c>
      <c r="N585">
        <v>1</v>
      </c>
      <c r="O585">
        <v>2</v>
      </c>
      <c r="P585">
        <v>118</v>
      </c>
      <c r="Q585">
        <v>82</v>
      </c>
      <c r="R585">
        <v>6</v>
      </c>
      <c r="S585">
        <v>7</v>
      </c>
      <c r="T585">
        <v>456</v>
      </c>
      <c r="U585">
        <v>30</v>
      </c>
      <c r="V585">
        <v>415753</v>
      </c>
      <c r="W585">
        <v>118</v>
      </c>
    </row>
    <row r="586" spans="1:23" x14ac:dyDescent="0.2">
      <c r="A586" t="s">
        <v>744</v>
      </c>
      <c r="B586" t="s">
        <v>157</v>
      </c>
      <c r="C586">
        <v>21.92375731468201</v>
      </c>
      <c r="D586">
        <v>283</v>
      </c>
      <c r="E586">
        <v>389</v>
      </c>
      <c r="F586">
        <v>8</v>
      </c>
      <c r="G586">
        <v>7</v>
      </c>
      <c r="H586">
        <v>1.468085106382979</v>
      </c>
      <c r="I586">
        <v>1.132352941176471</v>
      </c>
      <c r="J586">
        <v>1.638297872340426</v>
      </c>
      <c r="K586">
        <v>1.446808510638298</v>
      </c>
      <c r="L586">
        <v>6.7142857142857144</v>
      </c>
      <c r="M586">
        <v>2</v>
      </c>
      <c r="N586">
        <v>2</v>
      </c>
      <c r="O586">
        <v>2</v>
      </c>
      <c r="P586">
        <v>68</v>
      </c>
      <c r="Q586">
        <v>47</v>
      </c>
      <c r="R586">
        <v>7</v>
      </c>
      <c r="S586">
        <v>15</v>
      </c>
      <c r="T586">
        <v>628</v>
      </c>
      <c r="U586">
        <v>92</v>
      </c>
      <c r="V586">
        <v>69</v>
      </c>
      <c r="W586">
        <v>77</v>
      </c>
    </row>
    <row r="587" spans="1:23" x14ac:dyDescent="0.2">
      <c r="A587" t="s">
        <v>745</v>
      </c>
      <c r="B587" t="s">
        <v>158</v>
      </c>
      <c r="C587" t="s">
        <v>159</v>
      </c>
      <c r="D587" t="s">
        <v>159</v>
      </c>
      <c r="E587" t="s">
        <v>159</v>
      </c>
      <c r="F587" t="s">
        <v>159</v>
      </c>
      <c r="G587" t="s">
        <v>159</v>
      </c>
      <c r="H587" t="s">
        <v>159</v>
      </c>
      <c r="I587" t="s">
        <v>159</v>
      </c>
      <c r="J587" t="s">
        <v>159</v>
      </c>
      <c r="K587" t="s">
        <v>159</v>
      </c>
      <c r="L587" t="s">
        <v>159</v>
      </c>
      <c r="M587" t="s">
        <v>159</v>
      </c>
      <c r="N587" t="s">
        <v>159</v>
      </c>
      <c r="O587" t="s">
        <v>159</v>
      </c>
      <c r="P587" t="s">
        <v>159</v>
      </c>
      <c r="Q587" t="s">
        <v>159</v>
      </c>
      <c r="R587" t="s">
        <v>159</v>
      </c>
      <c r="S587" t="s">
        <v>159</v>
      </c>
      <c r="T587" t="s">
        <v>159</v>
      </c>
      <c r="U587" t="s">
        <v>159</v>
      </c>
      <c r="V587" t="s">
        <v>159</v>
      </c>
      <c r="W587" t="s">
        <v>159</v>
      </c>
    </row>
    <row r="588" spans="1:23" x14ac:dyDescent="0.2">
      <c r="A588" t="s">
        <v>746</v>
      </c>
      <c r="B588" t="s">
        <v>157</v>
      </c>
      <c r="C588">
        <v>6.0220000743865967</v>
      </c>
      <c r="D588">
        <v>324</v>
      </c>
      <c r="E588">
        <v>606</v>
      </c>
      <c r="F588">
        <v>11</v>
      </c>
      <c r="G588">
        <v>9</v>
      </c>
      <c r="H588">
        <v>2.7162162162162158</v>
      </c>
      <c r="I588">
        <v>1</v>
      </c>
      <c r="J588">
        <v>1.459459459459459</v>
      </c>
      <c r="K588">
        <v>1.459459459459459</v>
      </c>
      <c r="L588">
        <v>8.2222222222222214</v>
      </c>
      <c r="M588">
        <v>4</v>
      </c>
      <c r="N588">
        <v>1</v>
      </c>
      <c r="O588">
        <v>2</v>
      </c>
      <c r="P588">
        <v>108</v>
      </c>
      <c r="Q588">
        <v>74</v>
      </c>
      <c r="R588">
        <v>9</v>
      </c>
      <c r="S588">
        <v>11</v>
      </c>
      <c r="T588">
        <v>706</v>
      </c>
      <c r="U588">
        <v>83</v>
      </c>
      <c r="V588">
        <v>201</v>
      </c>
      <c r="W588">
        <v>108</v>
      </c>
    </row>
    <row r="589" spans="1:23" x14ac:dyDescent="0.2">
      <c r="A589" t="s">
        <v>747</v>
      </c>
      <c r="B589" t="s">
        <v>157</v>
      </c>
      <c r="C589">
        <v>7.6627395153045654</v>
      </c>
      <c r="D589">
        <v>367</v>
      </c>
      <c r="E589">
        <v>244</v>
      </c>
      <c r="F589">
        <v>8</v>
      </c>
      <c r="G589">
        <v>7</v>
      </c>
      <c r="H589">
        <v>0.6470588235294118</v>
      </c>
      <c r="I589">
        <v>1</v>
      </c>
      <c r="J589">
        <v>1.8235294117647061</v>
      </c>
      <c r="K589">
        <v>1.8235294117647061</v>
      </c>
      <c r="L589">
        <v>4.8571428571428568</v>
      </c>
      <c r="M589">
        <v>6</v>
      </c>
      <c r="N589">
        <v>1</v>
      </c>
      <c r="O589">
        <v>3</v>
      </c>
      <c r="P589">
        <v>62</v>
      </c>
      <c r="Q589">
        <v>34</v>
      </c>
      <c r="R589">
        <v>7</v>
      </c>
      <c r="S589">
        <v>8</v>
      </c>
      <c r="T589">
        <v>210</v>
      </c>
      <c r="U589">
        <v>38</v>
      </c>
      <c r="V589">
        <v>22</v>
      </c>
      <c r="W589">
        <v>62</v>
      </c>
    </row>
    <row r="590" spans="1:23" x14ac:dyDescent="0.2">
      <c r="A590" t="s">
        <v>748</v>
      </c>
      <c r="B590" t="s">
        <v>157</v>
      </c>
      <c r="C590">
        <v>21.40370416641235</v>
      </c>
      <c r="D590">
        <v>346</v>
      </c>
      <c r="E590">
        <v>585</v>
      </c>
      <c r="F590">
        <v>9</v>
      </c>
      <c r="G590">
        <v>8</v>
      </c>
      <c r="H590">
        <v>129.37254901960779</v>
      </c>
      <c r="I590">
        <v>1.0543478260869561</v>
      </c>
      <c r="J590">
        <v>1.9019607843137261</v>
      </c>
      <c r="K590">
        <v>1.803921568627451</v>
      </c>
      <c r="L590">
        <v>6.375</v>
      </c>
      <c r="M590">
        <v>1056</v>
      </c>
      <c r="N590">
        <v>2</v>
      </c>
      <c r="O590">
        <v>3</v>
      </c>
      <c r="P590">
        <v>92</v>
      </c>
      <c r="Q590">
        <v>51</v>
      </c>
      <c r="R590">
        <v>8</v>
      </c>
      <c r="S590">
        <v>10</v>
      </c>
      <c r="T590">
        <v>413</v>
      </c>
      <c r="U590">
        <v>62</v>
      </c>
      <c r="V590">
        <v>6598</v>
      </c>
      <c r="W590">
        <v>97</v>
      </c>
    </row>
    <row r="591" spans="1:23" x14ac:dyDescent="0.2">
      <c r="A591" t="s">
        <v>749</v>
      </c>
      <c r="B591" t="s">
        <v>157</v>
      </c>
      <c r="C591">
        <v>23.336380958557129</v>
      </c>
      <c r="D591">
        <v>395</v>
      </c>
      <c r="E591">
        <v>425</v>
      </c>
      <c r="F591">
        <v>10</v>
      </c>
      <c r="G591">
        <v>9</v>
      </c>
      <c r="H591">
        <v>9.6393442622950793</v>
      </c>
      <c r="I591">
        <v>1.008403361344538</v>
      </c>
      <c r="J591">
        <v>1.9672131147540981</v>
      </c>
      <c r="K591">
        <v>1.9508196721311479</v>
      </c>
      <c r="L591">
        <v>6.7777777777777777</v>
      </c>
      <c r="M591">
        <v>100</v>
      </c>
      <c r="N591">
        <v>2</v>
      </c>
      <c r="O591">
        <v>4</v>
      </c>
      <c r="P591">
        <v>119</v>
      </c>
      <c r="Q591">
        <v>61</v>
      </c>
      <c r="R591">
        <v>9</v>
      </c>
      <c r="S591">
        <v>19</v>
      </c>
      <c r="T591">
        <v>1039</v>
      </c>
      <c r="U591">
        <v>147</v>
      </c>
      <c r="V591">
        <v>588</v>
      </c>
      <c r="W591">
        <v>120</v>
      </c>
    </row>
    <row r="592" spans="1:23" x14ac:dyDescent="0.2">
      <c r="A592" t="s">
        <v>750</v>
      </c>
      <c r="B592" t="s">
        <v>158</v>
      </c>
      <c r="C592" t="s">
        <v>159</v>
      </c>
      <c r="D592" t="s">
        <v>159</v>
      </c>
      <c r="E592" t="s">
        <v>159</v>
      </c>
      <c r="F592" t="s">
        <v>159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 t="s">
        <v>159</v>
      </c>
      <c r="T592" t="s">
        <v>159</v>
      </c>
      <c r="U592" t="s">
        <v>159</v>
      </c>
      <c r="V592" t="s">
        <v>159</v>
      </c>
      <c r="W592" t="s">
        <v>159</v>
      </c>
    </row>
    <row r="593" spans="1:23" x14ac:dyDescent="0.2">
      <c r="A593" t="s">
        <v>751</v>
      </c>
      <c r="B593" t="s">
        <v>158</v>
      </c>
      <c r="C593" t="s">
        <v>159</v>
      </c>
      <c r="D593" t="s">
        <v>159</v>
      </c>
      <c r="E593" t="s">
        <v>159</v>
      </c>
      <c r="F593" t="s">
        <v>159</v>
      </c>
      <c r="G593" t="s">
        <v>159</v>
      </c>
      <c r="H593" t="s">
        <v>159</v>
      </c>
      <c r="I593" t="s">
        <v>159</v>
      </c>
      <c r="J593" t="s">
        <v>159</v>
      </c>
      <c r="K593" t="s">
        <v>159</v>
      </c>
      <c r="L593" t="s">
        <v>159</v>
      </c>
      <c r="M593" t="s">
        <v>159</v>
      </c>
      <c r="N593" t="s">
        <v>159</v>
      </c>
      <c r="O593" t="s">
        <v>159</v>
      </c>
      <c r="P593" t="s">
        <v>159</v>
      </c>
      <c r="Q593" t="s">
        <v>159</v>
      </c>
      <c r="R593" t="s">
        <v>159</v>
      </c>
      <c r="S593" t="s">
        <v>159</v>
      </c>
      <c r="T593" t="s">
        <v>159</v>
      </c>
      <c r="U593" t="s">
        <v>159</v>
      </c>
      <c r="V593" t="s">
        <v>159</v>
      </c>
      <c r="W593" t="s">
        <v>159</v>
      </c>
    </row>
    <row r="594" spans="1:23" x14ac:dyDescent="0.2">
      <c r="A594" t="s">
        <v>752</v>
      </c>
      <c r="B594" t="s">
        <v>157</v>
      </c>
      <c r="C594">
        <v>7.7229936122894287</v>
      </c>
      <c r="D594">
        <v>13816</v>
      </c>
      <c r="E594">
        <v>28880</v>
      </c>
      <c r="F594">
        <v>17</v>
      </c>
      <c r="G594">
        <v>16</v>
      </c>
      <c r="H594">
        <v>0</v>
      </c>
      <c r="I594">
        <v>1.032520325203252</v>
      </c>
      <c r="J594">
        <v>1.984375</v>
      </c>
      <c r="K594">
        <v>1.921875</v>
      </c>
      <c r="L594">
        <v>4</v>
      </c>
      <c r="M594">
        <v>0</v>
      </c>
      <c r="N594">
        <v>2</v>
      </c>
      <c r="O594">
        <v>2</v>
      </c>
      <c r="P594">
        <v>123</v>
      </c>
      <c r="Q594">
        <v>64</v>
      </c>
      <c r="R594">
        <v>16</v>
      </c>
      <c r="S594">
        <v>21</v>
      </c>
      <c r="T594">
        <v>1217</v>
      </c>
      <c r="U594">
        <v>304</v>
      </c>
      <c r="V594">
        <v>0</v>
      </c>
      <c r="W594">
        <v>127</v>
      </c>
    </row>
    <row r="595" spans="1:23" x14ac:dyDescent="0.2">
      <c r="A595" t="s">
        <v>753</v>
      </c>
      <c r="B595" t="s">
        <v>157</v>
      </c>
      <c r="C595">
        <v>1819.6045892238619</v>
      </c>
      <c r="D595">
        <v>2546</v>
      </c>
      <c r="E595">
        <v>3677</v>
      </c>
      <c r="F595">
        <v>10</v>
      </c>
      <c r="G595">
        <v>9</v>
      </c>
      <c r="H595">
        <v>0.69811320754716977</v>
      </c>
      <c r="I595">
        <v>1</v>
      </c>
      <c r="J595">
        <v>2.0188679245283021</v>
      </c>
      <c r="K595">
        <v>2.0188679245283021</v>
      </c>
      <c r="L595">
        <v>5.8888888888888893</v>
      </c>
      <c r="M595">
        <v>8</v>
      </c>
      <c r="N595">
        <v>1</v>
      </c>
      <c r="O595">
        <v>3</v>
      </c>
      <c r="P595">
        <v>107</v>
      </c>
      <c r="Q595">
        <v>53</v>
      </c>
      <c r="R595">
        <v>9</v>
      </c>
      <c r="S595">
        <v>10</v>
      </c>
      <c r="T595">
        <v>423</v>
      </c>
      <c r="U595">
        <v>66</v>
      </c>
      <c r="V595">
        <v>37</v>
      </c>
      <c r="W595">
        <v>107</v>
      </c>
    </row>
    <row r="596" spans="1:23" x14ac:dyDescent="0.2">
      <c r="A596" t="s">
        <v>754</v>
      </c>
      <c r="B596" t="s">
        <v>158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 t="s">
        <v>159</v>
      </c>
      <c r="O596" t="s">
        <v>159</v>
      </c>
      <c r="P596" t="s">
        <v>159</v>
      </c>
      <c r="Q596" t="s">
        <v>159</v>
      </c>
      <c r="R596" t="s">
        <v>159</v>
      </c>
      <c r="S596" t="s">
        <v>159</v>
      </c>
      <c r="T596" t="s">
        <v>159</v>
      </c>
      <c r="U596" t="s">
        <v>159</v>
      </c>
      <c r="V596" t="s">
        <v>159</v>
      </c>
      <c r="W596" t="s">
        <v>159</v>
      </c>
    </row>
    <row r="597" spans="1:23" x14ac:dyDescent="0.2">
      <c r="A597" t="s">
        <v>755</v>
      </c>
      <c r="B597" t="s">
        <v>158</v>
      </c>
      <c r="C597" t="s">
        <v>159</v>
      </c>
      <c r="D597" t="s">
        <v>159</v>
      </c>
      <c r="E597" t="s">
        <v>159</v>
      </c>
      <c r="F597" t="s">
        <v>159</v>
      </c>
      <c r="G597" t="s">
        <v>159</v>
      </c>
      <c r="H597" t="s">
        <v>159</v>
      </c>
      <c r="I597" t="s">
        <v>159</v>
      </c>
      <c r="J597" t="s">
        <v>159</v>
      </c>
      <c r="K597" t="s">
        <v>159</v>
      </c>
      <c r="L597" t="s">
        <v>159</v>
      </c>
      <c r="M597" t="s">
        <v>159</v>
      </c>
      <c r="N597" t="s">
        <v>159</v>
      </c>
      <c r="O597" t="s">
        <v>159</v>
      </c>
      <c r="P597" t="s">
        <v>159</v>
      </c>
      <c r="Q597" t="s">
        <v>159</v>
      </c>
      <c r="R597" t="s">
        <v>159</v>
      </c>
      <c r="S597" t="s">
        <v>159</v>
      </c>
      <c r="T597" t="s">
        <v>159</v>
      </c>
      <c r="U597" t="s">
        <v>159</v>
      </c>
      <c r="V597" t="s">
        <v>159</v>
      </c>
      <c r="W597" t="s">
        <v>159</v>
      </c>
    </row>
    <row r="598" spans="1:23" x14ac:dyDescent="0.2">
      <c r="A598" t="s">
        <v>756</v>
      </c>
      <c r="B598" t="s">
        <v>157</v>
      </c>
      <c r="C598">
        <v>746.85383915901184</v>
      </c>
      <c r="D598">
        <v>2334</v>
      </c>
      <c r="E598">
        <v>3292</v>
      </c>
      <c r="F598">
        <v>10</v>
      </c>
      <c r="G598">
        <v>9</v>
      </c>
      <c r="H598">
        <v>0.69811320754716977</v>
      </c>
      <c r="I598">
        <v>1</v>
      </c>
      <c r="J598">
        <v>2.0188679245283021</v>
      </c>
      <c r="K598">
        <v>2.0188679245283021</v>
      </c>
      <c r="L598">
        <v>5.8888888888888893</v>
      </c>
      <c r="M598">
        <v>8</v>
      </c>
      <c r="N598">
        <v>1</v>
      </c>
      <c r="O598">
        <v>3</v>
      </c>
      <c r="P598">
        <v>107</v>
      </c>
      <c r="Q598">
        <v>53</v>
      </c>
      <c r="R598">
        <v>9</v>
      </c>
      <c r="S598">
        <v>10</v>
      </c>
      <c r="T598">
        <v>423</v>
      </c>
      <c r="U598">
        <v>66</v>
      </c>
      <c r="V598">
        <v>37</v>
      </c>
      <c r="W598">
        <v>107</v>
      </c>
    </row>
    <row r="599" spans="1:23" x14ac:dyDescent="0.2">
      <c r="A599" t="s">
        <v>757</v>
      </c>
      <c r="B599" t="s">
        <v>157</v>
      </c>
      <c r="C599">
        <v>161.53414821624759</v>
      </c>
      <c r="D599">
        <v>965</v>
      </c>
      <c r="E599">
        <v>1254</v>
      </c>
      <c r="F599">
        <v>9</v>
      </c>
      <c r="G599">
        <v>8</v>
      </c>
      <c r="H599">
        <v>0.67441860465116277</v>
      </c>
      <c r="I599">
        <v>1</v>
      </c>
      <c r="J599">
        <v>1.930232558139535</v>
      </c>
      <c r="K599">
        <v>1.930232558139535</v>
      </c>
      <c r="L599">
        <v>5.375</v>
      </c>
      <c r="M599">
        <v>7</v>
      </c>
      <c r="N599">
        <v>1</v>
      </c>
      <c r="O599">
        <v>3</v>
      </c>
      <c r="P599">
        <v>83</v>
      </c>
      <c r="Q599">
        <v>43</v>
      </c>
      <c r="R599">
        <v>8</v>
      </c>
      <c r="S599">
        <v>9</v>
      </c>
      <c r="T599">
        <v>304</v>
      </c>
      <c r="U599">
        <v>51</v>
      </c>
      <c r="V599">
        <v>29</v>
      </c>
      <c r="W599">
        <v>83</v>
      </c>
    </row>
    <row r="600" spans="1:23" x14ac:dyDescent="0.2">
      <c r="A600" t="s">
        <v>758</v>
      </c>
      <c r="B600" t="s">
        <v>157</v>
      </c>
      <c r="C600">
        <v>5.1101093292236328</v>
      </c>
      <c r="D600">
        <v>8822</v>
      </c>
      <c r="E600">
        <v>16136</v>
      </c>
      <c r="F600">
        <v>17</v>
      </c>
      <c r="G600">
        <v>16</v>
      </c>
      <c r="H600">
        <v>0</v>
      </c>
      <c r="I600">
        <v>1.032520325203252</v>
      </c>
      <c r="J600">
        <v>1.984375</v>
      </c>
      <c r="K600">
        <v>1.921875</v>
      </c>
      <c r="L600">
        <v>4</v>
      </c>
      <c r="M600">
        <v>0</v>
      </c>
      <c r="N600">
        <v>2</v>
      </c>
      <c r="O600">
        <v>2</v>
      </c>
      <c r="P600">
        <v>123</v>
      </c>
      <c r="Q600">
        <v>64</v>
      </c>
      <c r="R600">
        <v>16</v>
      </c>
      <c r="S600">
        <v>21</v>
      </c>
      <c r="T600">
        <v>1217</v>
      </c>
      <c r="U600">
        <v>304</v>
      </c>
      <c r="V600">
        <v>0</v>
      </c>
      <c r="W600">
        <v>127</v>
      </c>
    </row>
    <row r="601" spans="1:23" x14ac:dyDescent="0.2">
      <c r="A601" t="s">
        <v>759</v>
      </c>
      <c r="B601" t="s">
        <v>157</v>
      </c>
      <c r="C601">
        <v>1647.3205554485321</v>
      </c>
      <c r="D601">
        <v>2801</v>
      </c>
      <c r="E601">
        <v>4412</v>
      </c>
      <c r="F601">
        <v>10</v>
      </c>
      <c r="G601">
        <v>9</v>
      </c>
      <c r="H601">
        <v>0.69811320754716977</v>
      </c>
      <c r="I601">
        <v>1</v>
      </c>
      <c r="J601">
        <v>2.0188679245283021</v>
      </c>
      <c r="K601">
        <v>2.0188679245283021</v>
      </c>
      <c r="L601">
        <v>5.8888888888888893</v>
      </c>
      <c r="M601">
        <v>8</v>
      </c>
      <c r="N601">
        <v>1</v>
      </c>
      <c r="O601">
        <v>3</v>
      </c>
      <c r="P601">
        <v>107</v>
      </c>
      <c r="Q601">
        <v>53</v>
      </c>
      <c r="R601">
        <v>9</v>
      </c>
      <c r="S601">
        <v>10</v>
      </c>
      <c r="T601">
        <v>423</v>
      </c>
      <c r="U601">
        <v>66</v>
      </c>
      <c r="V601">
        <v>37</v>
      </c>
      <c r="W601">
        <v>107</v>
      </c>
    </row>
    <row r="602" spans="1:23" x14ac:dyDescent="0.2">
      <c r="A602" t="s">
        <v>760</v>
      </c>
      <c r="B602" t="s">
        <v>158</v>
      </c>
      <c r="C602" t="s">
        <v>159</v>
      </c>
      <c r="D602" t="s">
        <v>159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  <c r="K602" t="s">
        <v>159</v>
      </c>
      <c r="L602" t="s">
        <v>159</v>
      </c>
      <c r="M602" t="s">
        <v>159</v>
      </c>
      <c r="N602" t="s">
        <v>159</v>
      </c>
      <c r="O602" t="s">
        <v>159</v>
      </c>
      <c r="P602" t="s">
        <v>159</v>
      </c>
      <c r="Q602" t="s">
        <v>159</v>
      </c>
      <c r="R602" t="s">
        <v>159</v>
      </c>
      <c r="S602" t="s">
        <v>159</v>
      </c>
      <c r="T602" t="s">
        <v>159</v>
      </c>
      <c r="U602" t="s">
        <v>159</v>
      </c>
      <c r="V602" t="s">
        <v>159</v>
      </c>
      <c r="W602" t="s">
        <v>159</v>
      </c>
    </row>
    <row r="603" spans="1:23" x14ac:dyDescent="0.2">
      <c r="A603" t="s">
        <v>761</v>
      </c>
      <c r="B603" t="s">
        <v>158</v>
      </c>
      <c r="C603" t="s">
        <v>159</v>
      </c>
      <c r="D603" t="s">
        <v>159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  <c r="J603" t="s">
        <v>159</v>
      </c>
      <c r="K603" t="s">
        <v>159</v>
      </c>
      <c r="L603" t="s">
        <v>159</v>
      </c>
      <c r="M603" t="s">
        <v>159</v>
      </c>
      <c r="N603" t="s">
        <v>159</v>
      </c>
      <c r="O603" t="s">
        <v>159</v>
      </c>
      <c r="P603" t="s">
        <v>159</v>
      </c>
      <c r="Q603" t="s">
        <v>159</v>
      </c>
      <c r="R603" t="s">
        <v>159</v>
      </c>
      <c r="S603" t="s">
        <v>159</v>
      </c>
      <c r="T603" t="s">
        <v>159</v>
      </c>
      <c r="U603" t="s">
        <v>159</v>
      </c>
      <c r="V603" t="s">
        <v>159</v>
      </c>
      <c r="W603" t="s">
        <v>159</v>
      </c>
    </row>
    <row r="604" spans="1:23" x14ac:dyDescent="0.2">
      <c r="A604" t="s">
        <v>762</v>
      </c>
      <c r="B604" t="s">
        <v>157</v>
      </c>
      <c r="C604">
        <v>8.0645134449005127</v>
      </c>
      <c r="D604">
        <v>48</v>
      </c>
      <c r="E604">
        <v>2190</v>
      </c>
      <c r="F604">
        <v>7</v>
      </c>
      <c r="G604">
        <v>4</v>
      </c>
      <c r="H604">
        <v>8.6666666666666661</v>
      </c>
      <c r="I604">
        <v>1.1463414634146341</v>
      </c>
      <c r="J604">
        <v>3.916666666666667</v>
      </c>
      <c r="K604">
        <v>3.416666666666667</v>
      </c>
      <c r="L604">
        <v>24</v>
      </c>
      <c r="M604">
        <v>24</v>
      </c>
      <c r="N604">
        <v>2</v>
      </c>
      <c r="O604">
        <v>5</v>
      </c>
      <c r="P604">
        <v>328</v>
      </c>
      <c r="Q604">
        <v>96</v>
      </c>
      <c r="R604">
        <v>4</v>
      </c>
      <c r="S604">
        <v>10</v>
      </c>
      <c r="T604">
        <v>584</v>
      </c>
      <c r="U604">
        <v>16</v>
      </c>
      <c r="V604">
        <v>832</v>
      </c>
      <c r="W604">
        <v>376</v>
      </c>
    </row>
    <row r="605" spans="1:23" x14ac:dyDescent="0.2">
      <c r="A605" t="s">
        <v>763</v>
      </c>
      <c r="B605" t="s">
        <v>157</v>
      </c>
      <c r="C605">
        <v>6924.3256349563599</v>
      </c>
      <c r="D605">
        <v>2861</v>
      </c>
      <c r="E605">
        <v>14627</v>
      </c>
      <c r="F605">
        <v>9</v>
      </c>
      <c r="G605">
        <v>8</v>
      </c>
      <c r="H605">
        <v>11.95</v>
      </c>
      <c r="I605">
        <v>1.597560975609756</v>
      </c>
      <c r="J605">
        <v>2.1833333333333331</v>
      </c>
      <c r="K605">
        <v>1.3666666666666669</v>
      </c>
      <c r="L605">
        <v>7.5</v>
      </c>
      <c r="M605">
        <v>332</v>
      </c>
      <c r="N605">
        <v>4</v>
      </c>
      <c r="O605">
        <v>3</v>
      </c>
      <c r="P605">
        <v>82</v>
      </c>
      <c r="Q605">
        <v>60</v>
      </c>
      <c r="R605">
        <v>8</v>
      </c>
      <c r="S605">
        <v>15</v>
      </c>
      <c r="T605">
        <v>769</v>
      </c>
      <c r="U605">
        <v>95</v>
      </c>
      <c r="V605">
        <v>717</v>
      </c>
      <c r="W605">
        <v>131</v>
      </c>
    </row>
    <row r="606" spans="1:23" x14ac:dyDescent="0.2">
      <c r="A606" t="s">
        <v>764</v>
      </c>
      <c r="B606" t="s">
        <v>157</v>
      </c>
      <c r="C606">
        <v>393.4223804473877</v>
      </c>
      <c r="D606">
        <v>1730</v>
      </c>
      <c r="E606">
        <v>2927</v>
      </c>
      <c r="F606">
        <v>10</v>
      </c>
      <c r="G606">
        <v>9</v>
      </c>
      <c r="H606">
        <v>0.69811320754716977</v>
      </c>
      <c r="I606">
        <v>1</v>
      </c>
      <c r="J606">
        <v>2.0188679245283021</v>
      </c>
      <c r="K606">
        <v>2.0188679245283021</v>
      </c>
      <c r="L606">
        <v>5.8888888888888893</v>
      </c>
      <c r="M606">
        <v>8</v>
      </c>
      <c r="N606">
        <v>1</v>
      </c>
      <c r="O606">
        <v>3</v>
      </c>
      <c r="P606">
        <v>107</v>
      </c>
      <c r="Q606">
        <v>53</v>
      </c>
      <c r="R606">
        <v>9</v>
      </c>
      <c r="S606">
        <v>10</v>
      </c>
      <c r="T606">
        <v>423</v>
      </c>
      <c r="U606">
        <v>67</v>
      </c>
      <c r="V606">
        <v>37</v>
      </c>
      <c r="W606">
        <v>107</v>
      </c>
    </row>
    <row r="607" spans="1:23" x14ac:dyDescent="0.2">
      <c r="A607" t="s">
        <v>765</v>
      </c>
      <c r="B607" t="s">
        <v>157</v>
      </c>
      <c r="C607">
        <v>6876.253919839859</v>
      </c>
      <c r="D607">
        <v>270</v>
      </c>
      <c r="E607">
        <v>16349</v>
      </c>
      <c r="F607">
        <v>7</v>
      </c>
      <c r="G607">
        <v>4</v>
      </c>
      <c r="H607">
        <v>4.5</v>
      </c>
      <c r="I607">
        <v>1.1578947368421051</v>
      </c>
      <c r="J607">
        <v>3.666666666666667</v>
      </c>
      <c r="K607">
        <v>3.166666666666667</v>
      </c>
      <c r="L607">
        <v>24</v>
      </c>
      <c r="M607">
        <v>24</v>
      </c>
      <c r="N607">
        <v>2</v>
      </c>
      <c r="O607">
        <v>5</v>
      </c>
      <c r="P607">
        <v>304</v>
      </c>
      <c r="Q607">
        <v>96</v>
      </c>
      <c r="R607">
        <v>4</v>
      </c>
      <c r="S607">
        <v>11</v>
      </c>
      <c r="T607">
        <v>704</v>
      </c>
      <c r="U607">
        <v>20</v>
      </c>
      <c r="V607">
        <v>432</v>
      </c>
      <c r="W607">
        <v>352</v>
      </c>
    </row>
    <row r="608" spans="1:23" x14ac:dyDescent="0.2">
      <c r="A608" t="s">
        <v>766</v>
      </c>
      <c r="B608" t="s">
        <v>157</v>
      </c>
      <c r="C608">
        <v>6447.6473948955536</v>
      </c>
      <c r="D608">
        <v>3251</v>
      </c>
      <c r="E608">
        <v>6598</v>
      </c>
      <c r="F608">
        <v>10</v>
      </c>
      <c r="G608">
        <v>9</v>
      </c>
      <c r="H608">
        <v>57275181875660.273</v>
      </c>
      <c r="I608">
        <v>1.029126213592233</v>
      </c>
      <c r="J608">
        <v>2.058252427184466</v>
      </c>
      <c r="K608">
        <v>2</v>
      </c>
      <c r="L608">
        <v>11.444444444444439</v>
      </c>
      <c r="M608">
        <v>1212982689600000</v>
      </c>
      <c r="N608">
        <v>2</v>
      </c>
      <c r="O608">
        <v>4</v>
      </c>
      <c r="P608">
        <v>206</v>
      </c>
      <c r="Q608">
        <v>103</v>
      </c>
      <c r="R608">
        <v>9</v>
      </c>
      <c r="S608">
        <v>19</v>
      </c>
      <c r="T608">
        <v>1745</v>
      </c>
      <c r="U608">
        <v>144</v>
      </c>
      <c r="V608">
        <v>5899343733193007</v>
      </c>
      <c r="W608">
        <v>212</v>
      </c>
    </row>
    <row r="609" spans="1:23" x14ac:dyDescent="0.2">
      <c r="A609" t="s">
        <v>767</v>
      </c>
      <c r="B609" t="s">
        <v>157</v>
      </c>
      <c r="C609">
        <v>388.61856985092157</v>
      </c>
      <c r="D609">
        <v>693</v>
      </c>
      <c r="E609">
        <v>1644</v>
      </c>
      <c r="F609">
        <v>9</v>
      </c>
      <c r="G609">
        <v>8</v>
      </c>
      <c r="H609">
        <v>1.55</v>
      </c>
      <c r="I609">
        <v>1.1208791208791209</v>
      </c>
      <c r="J609">
        <v>1.7</v>
      </c>
      <c r="K609">
        <v>1.5166666666666671</v>
      </c>
      <c r="L609">
        <v>7.5</v>
      </c>
      <c r="M609">
        <v>2</v>
      </c>
      <c r="N609">
        <v>2</v>
      </c>
      <c r="O609">
        <v>2</v>
      </c>
      <c r="P609">
        <v>91</v>
      </c>
      <c r="Q609">
        <v>60</v>
      </c>
      <c r="R609">
        <v>8</v>
      </c>
      <c r="S609">
        <v>17</v>
      </c>
      <c r="T609">
        <v>918</v>
      </c>
      <c r="U609">
        <v>121</v>
      </c>
      <c r="V609">
        <v>93</v>
      </c>
      <c r="W609">
        <v>102</v>
      </c>
    </row>
    <row r="610" spans="1:23" x14ac:dyDescent="0.2">
      <c r="A610" t="s">
        <v>768</v>
      </c>
      <c r="B610" t="s">
        <v>157</v>
      </c>
      <c r="C610">
        <v>337.31408023834229</v>
      </c>
      <c r="D610">
        <v>1215</v>
      </c>
      <c r="E610">
        <v>1623</v>
      </c>
      <c r="F610">
        <v>11</v>
      </c>
      <c r="G610">
        <v>10</v>
      </c>
      <c r="H610">
        <v>150.42500000000001</v>
      </c>
      <c r="I610">
        <v>1</v>
      </c>
      <c r="J610">
        <v>1.5249999999999999</v>
      </c>
      <c r="K610">
        <v>1.5249999999999999</v>
      </c>
      <c r="L610">
        <v>4</v>
      </c>
      <c r="M610">
        <v>855</v>
      </c>
      <c r="N610">
        <v>1</v>
      </c>
      <c r="O610">
        <v>2</v>
      </c>
      <c r="P610">
        <v>61</v>
      </c>
      <c r="Q610">
        <v>40</v>
      </c>
      <c r="R610">
        <v>10</v>
      </c>
      <c r="S610">
        <v>11</v>
      </c>
      <c r="T610">
        <v>379</v>
      </c>
      <c r="U610">
        <v>92</v>
      </c>
      <c r="V610">
        <v>6017</v>
      </c>
      <c r="W610">
        <v>61</v>
      </c>
    </row>
    <row r="611" spans="1:23" x14ac:dyDescent="0.2">
      <c r="A611" t="s">
        <v>769</v>
      </c>
      <c r="B611" t="s">
        <v>158</v>
      </c>
      <c r="C611" t="s">
        <v>159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  <c r="I611" t="s">
        <v>159</v>
      </c>
      <c r="J611" t="s">
        <v>159</v>
      </c>
      <c r="K611" t="s">
        <v>159</v>
      </c>
      <c r="L611" t="s">
        <v>159</v>
      </c>
      <c r="M611" t="s">
        <v>159</v>
      </c>
      <c r="N611" t="s">
        <v>159</v>
      </c>
      <c r="O611" t="s">
        <v>159</v>
      </c>
      <c r="P611" t="s">
        <v>159</v>
      </c>
      <c r="Q611" t="s">
        <v>159</v>
      </c>
      <c r="R611" t="s">
        <v>159</v>
      </c>
      <c r="S611" t="s">
        <v>159</v>
      </c>
      <c r="T611" t="s">
        <v>159</v>
      </c>
      <c r="U611" t="s">
        <v>159</v>
      </c>
      <c r="V611" t="s">
        <v>159</v>
      </c>
      <c r="W611" t="s">
        <v>159</v>
      </c>
    </row>
    <row r="612" spans="1:23" x14ac:dyDescent="0.2">
      <c r="A612" t="s">
        <v>770</v>
      </c>
      <c r="B612" t="s">
        <v>157</v>
      </c>
      <c r="C612">
        <v>31.098101854324341</v>
      </c>
      <c r="D612">
        <v>491</v>
      </c>
      <c r="E612">
        <v>567</v>
      </c>
      <c r="F612">
        <v>9</v>
      </c>
      <c r="G612">
        <v>8</v>
      </c>
      <c r="H612">
        <v>0.65116279069767447</v>
      </c>
      <c r="I612">
        <v>1</v>
      </c>
      <c r="J612">
        <v>1.441860465116279</v>
      </c>
      <c r="K612">
        <v>1.441860465116279</v>
      </c>
      <c r="L612">
        <v>5.375</v>
      </c>
      <c r="M612">
        <v>7</v>
      </c>
      <c r="N612">
        <v>1</v>
      </c>
      <c r="O612">
        <v>2</v>
      </c>
      <c r="P612">
        <v>62</v>
      </c>
      <c r="Q612">
        <v>43</v>
      </c>
      <c r="R612">
        <v>8</v>
      </c>
      <c r="S612">
        <v>9</v>
      </c>
      <c r="T612">
        <v>325</v>
      </c>
      <c r="U612">
        <v>58</v>
      </c>
      <c r="V612">
        <v>28</v>
      </c>
      <c r="W612">
        <v>62</v>
      </c>
    </row>
    <row r="613" spans="1:23" x14ac:dyDescent="0.2">
      <c r="A613" t="s">
        <v>771</v>
      </c>
      <c r="B613" t="s">
        <v>157</v>
      </c>
      <c r="C613">
        <v>17.752095699310299</v>
      </c>
      <c r="D613">
        <v>245</v>
      </c>
      <c r="E613">
        <v>303</v>
      </c>
      <c r="F613">
        <v>9</v>
      </c>
      <c r="G613">
        <v>8</v>
      </c>
      <c r="H613">
        <v>50.333333333333343</v>
      </c>
      <c r="I613">
        <v>1.0543478260869561</v>
      </c>
      <c r="J613">
        <v>1.9019607843137261</v>
      </c>
      <c r="K613">
        <v>1.803921568627451</v>
      </c>
      <c r="L613">
        <v>6.375</v>
      </c>
      <c r="M613">
        <v>284</v>
      </c>
      <c r="N613">
        <v>2</v>
      </c>
      <c r="O613">
        <v>3</v>
      </c>
      <c r="P613">
        <v>92</v>
      </c>
      <c r="Q613">
        <v>51</v>
      </c>
      <c r="R613">
        <v>8</v>
      </c>
      <c r="S613">
        <v>10</v>
      </c>
      <c r="T613">
        <v>413</v>
      </c>
      <c r="U613">
        <v>62</v>
      </c>
      <c r="V613">
        <v>2567</v>
      </c>
      <c r="W613">
        <v>97</v>
      </c>
    </row>
    <row r="614" spans="1:23" x14ac:dyDescent="0.2">
      <c r="A614" t="s">
        <v>772</v>
      </c>
      <c r="B614" t="s">
        <v>157</v>
      </c>
      <c r="C614">
        <v>14.921808004379271</v>
      </c>
      <c r="D614">
        <v>501</v>
      </c>
      <c r="E614">
        <v>367</v>
      </c>
      <c r="F614">
        <v>11</v>
      </c>
      <c r="G614">
        <v>10</v>
      </c>
      <c r="H614">
        <v>67.474999999999994</v>
      </c>
      <c r="I614">
        <v>1</v>
      </c>
      <c r="J614">
        <v>1.5249999999999999</v>
      </c>
      <c r="K614">
        <v>1.5249999999999999</v>
      </c>
      <c r="L614">
        <v>4</v>
      </c>
      <c r="M614">
        <v>595</v>
      </c>
      <c r="N614">
        <v>1</v>
      </c>
      <c r="O614">
        <v>2</v>
      </c>
      <c r="P614">
        <v>61</v>
      </c>
      <c r="Q614">
        <v>40</v>
      </c>
      <c r="R614">
        <v>10</v>
      </c>
      <c r="S614">
        <v>11</v>
      </c>
      <c r="T614">
        <v>379</v>
      </c>
      <c r="U614">
        <v>92</v>
      </c>
      <c r="V614">
        <v>2699</v>
      </c>
      <c r="W614">
        <v>61</v>
      </c>
    </row>
    <row r="615" spans="1:23" x14ac:dyDescent="0.2">
      <c r="A615" t="s">
        <v>773</v>
      </c>
      <c r="B615" t="s">
        <v>157</v>
      </c>
      <c r="C615">
        <v>331.25642108917242</v>
      </c>
      <c r="D615">
        <v>1269</v>
      </c>
      <c r="E615">
        <v>25371</v>
      </c>
      <c r="F615">
        <v>7</v>
      </c>
      <c r="G615">
        <v>6</v>
      </c>
      <c r="H615">
        <v>3.125E-2</v>
      </c>
      <c r="I615">
        <v>1</v>
      </c>
      <c r="J615">
        <v>2.75</v>
      </c>
      <c r="K615">
        <v>2.75</v>
      </c>
      <c r="L615">
        <v>5.333333333333333</v>
      </c>
      <c r="M615">
        <v>1</v>
      </c>
      <c r="N615">
        <v>1</v>
      </c>
      <c r="O615">
        <v>5</v>
      </c>
      <c r="P615">
        <v>88</v>
      </c>
      <c r="Q615">
        <v>32</v>
      </c>
      <c r="R615">
        <v>6</v>
      </c>
      <c r="S615">
        <v>7</v>
      </c>
      <c r="T615">
        <v>136</v>
      </c>
      <c r="U615">
        <v>22</v>
      </c>
      <c r="V615">
        <v>1</v>
      </c>
      <c r="W615">
        <v>88</v>
      </c>
    </row>
    <row r="616" spans="1:23" x14ac:dyDescent="0.2">
      <c r="A616" t="s">
        <v>774</v>
      </c>
      <c r="B616" t="s">
        <v>157</v>
      </c>
      <c r="C616">
        <v>2307.5836188793178</v>
      </c>
      <c r="D616">
        <v>3164</v>
      </c>
      <c r="E616">
        <v>15670</v>
      </c>
      <c r="F616">
        <v>9</v>
      </c>
      <c r="G616">
        <v>8</v>
      </c>
      <c r="H616">
        <v>11.91666666666667</v>
      </c>
      <c r="I616">
        <v>1.6049382716049381</v>
      </c>
      <c r="J616">
        <v>2.166666666666667</v>
      </c>
      <c r="K616">
        <v>1.35</v>
      </c>
      <c r="L616">
        <v>7.5</v>
      </c>
      <c r="M616">
        <v>332</v>
      </c>
      <c r="N616">
        <v>4</v>
      </c>
      <c r="O616">
        <v>3</v>
      </c>
      <c r="P616">
        <v>81</v>
      </c>
      <c r="Q616">
        <v>60</v>
      </c>
      <c r="R616">
        <v>8</v>
      </c>
      <c r="S616">
        <v>15</v>
      </c>
      <c r="T616">
        <v>770</v>
      </c>
      <c r="U616">
        <v>95</v>
      </c>
      <c r="V616">
        <v>715</v>
      </c>
      <c r="W616">
        <v>130</v>
      </c>
    </row>
    <row r="617" spans="1:23" x14ac:dyDescent="0.2">
      <c r="A617" t="s">
        <v>775</v>
      </c>
      <c r="B617" t="s">
        <v>157</v>
      </c>
      <c r="C617">
        <v>11.125822782516479</v>
      </c>
      <c r="D617">
        <v>473</v>
      </c>
      <c r="E617">
        <v>310</v>
      </c>
      <c r="F617">
        <v>11</v>
      </c>
      <c r="G617">
        <v>10</v>
      </c>
      <c r="H617">
        <v>67.525000000000006</v>
      </c>
      <c r="I617">
        <v>1</v>
      </c>
      <c r="J617">
        <v>1.5249999999999999</v>
      </c>
      <c r="K617">
        <v>1.5249999999999999</v>
      </c>
      <c r="L617">
        <v>4</v>
      </c>
      <c r="M617">
        <v>595</v>
      </c>
      <c r="N617">
        <v>1</v>
      </c>
      <c r="O617">
        <v>2</v>
      </c>
      <c r="P617">
        <v>61</v>
      </c>
      <c r="Q617">
        <v>40</v>
      </c>
      <c r="R617">
        <v>10</v>
      </c>
      <c r="S617">
        <v>11</v>
      </c>
      <c r="T617">
        <v>379</v>
      </c>
      <c r="U617">
        <v>92</v>
      </c>
      <c r="V617">
        <v>2701</v>
      </c>
      <c r="W617">
        <v>61</v>
      </c>
    </row>
    <row r="618" spans="1:23" x14ac:dyDescent="0.2">
      <c r="A618" t="s">
        <v>776</v>
      </c>
      <c r="B618" t="s">
        <v>157</v>
      </c>
      <c r="C618">
        <v>43.973114013671882</v>
      </c>
      <c r="D618">
        <v>759</v>
      </c>
      <c r="E618">
        <v>858</v>
      </c>
      <c r="F618">
        <v>9</v>
      </c>
      <c r="G618">
        <v>8</v>
      </c>
      <c r="H618">
        <v>0.67441860465116277</v>
      </c>
      <c r="I618">
        <v>1</v>
      </c>
      <c r="J618">
        <v>1.930232558139535</v>
      </c>
      <c r="K618">
        <v>1.930232558139535</v>
      </c>
      <c r="L618">
        <v>5.375</v>
      </c>
      <c r="M618">
        <v>7</v>
      </c>
      <c r="N618">
        <v>1</v>
      </c>
      <c r="O618">
        <v>3</v>
      </c>
      <c r="P618">
        <v>83</v>
      </c>
      <c r="Q618">
        <v>43</v>
      </c>
      <c r="R618">
        <v>8</v>
      </c>
      <c r="S618">
        <v>9</v>
      </c>
      <c r="T618">
        <v>304</v>
      </c>
      <c r="U618">
        <v>51</v>
      </c>
      <c r="V618">
        <v>29</v>
      </c>
      <c r="W618">
        <v>83</v>
      </c>
    </row>
    <row r="619" spans="1:23" x14ac:dyDescent="0.2">
      <c r="A619" t="s">
        <v>777</v>
      </c>
      <c r="B619" t="s">
        <v>157</v>
      </c>
      <c r="C619">
        <v>18.853621244430549</v>
      </c>
      <c r="D619">
        <v>245</v>
      </c>
      <c r="E619">
        <v>303</v>
      </c>
      <c r="F619">
        <v>9</v>
      </c>
      <c r="G619">
        <v>8</v>
      </c>
      <c r="H619">
        <v>128.78431372549019</v>
      </c>
      <c r="I619">
        <v>1.0543478260869561</v>
      </c>
      <c r="J619">
        <v>1.9019607843137261</v>
      </c>
      <c r="K619">
        <v>1.803921568627451</v>
      </c>
      <c r="L619">
        <v>6.375</v>
      </c>
      <c r="M619">
        <v>1056</v>
      </c>
      <c r="N619">
        <v>2</v>
      </c>
      <c r="O619">
        <v>3</v>
      </c>
      <c r="P619">
        <v>92</v>
      </c>
      <c r="Q619">
        <v>51</v>
      </c>
      <c r="R619">
        <v>8</v>
      </c>
      <c r="S619">
        <v>10</v>
      </c>
      <c r="T619">
        <v>413</v>
      </c>
      <c r="U619">
        <v>62</v>
      </c>
      <c r="V619">
        <v>6568</v>
      </c>
      <c r="W619">
        <v>97</v>
      </c>
    </row>
    <row r="620" spans="1:23" x14ac:dyDescent="0.2">
      <c r="A620" t="s">
        <v>778</v>
      </c>
      <c r="B620" t="s">
        <v>157</v>
      </c>
      <c r="C620">
        <v>90.238219499587998</v>
      </c>
      <c r="D620">
        <v>943</v>
      </c>
      <c r="E620">
        <v>16322</v>
      </c>
      <c r="F620">
        <v>7</v>
      </c>
      <c r="G620">
        <v>6</v>
      </c>
      <c r="H620">
        <v>3.125E-2</v>
      </c>
      <c r="I620">
        <v>1</v>
      </c>
      <c r="J620">
        <v>2.78125</v>
      </c>
      <c r="K620">
        <v>2.78125</v>
      </c>
      <c r="L620">
        <v>5.333333333333333</v>
      </c>
      <c r="M620">
        <v>1</v>
      </c>
      <c r="N620">
        <v>1</v>
      </c>
      <c r="O620">
        <v>5</v>
      </c>
      <c r="P620">
        <v>89</v>
      </c>
      <c r="Q620">
        <v>32</v>
      </c>
      <c r="R620">
        <v>6</v>
      </c>
      <c r="S620">
        <v>7</v>
      </c>
      <c r="T620">
        <v>135</v>
      </c>
      <c r="U620">
        <v>22</v>
      </c>
      <c r="V620">
        <v>1</v>
      </c>
      <c r="W620">
        <v>89</v>
      </c>
    </row>
    <row r="621" spans="1:23" x14ac:dyDescent="0.2">
      <c r="A621" t="s">
        <v>779</v>
      </c>
      <c r="B621" t="s">
        <v>157</v>
      </c>
      <c r="C621">
        <v>65.05281400680542</v>
      </c>
      <c r="D621">
        <v>2382</v>
      </c>
      <c r="E621">
        <v>2674</v>
      </c>
      <c r="F621">
        <v>13</v>
      </c>
      <c r="G621">
        <v>12</v>
      </c>
      <c r="H621">
        <v>5375.391304347826</v>
      </c>
      <c r="I621">
        <v>1.128571428571429</v>
      </c>
      <c r="J621">
        <v>1.7173913043478259</v>
      </c>
      <c r="K621">
        <v>1.5217391304347829</v>
      </c>
      <c r="L621">
        <v>3.833333333333333</v>
      </c>
      <c r="M621">
        <v>39701</v>
      </c>
      <c r="N621">
        <v>2</v>
      </c>
      <c r="O621">
        <v>5</v>
      </c>
      <c r="P621">
        <v>70</v>
      </c>
      <c r="Q621">
        <v>46</v>
      </c>
      <c r="R621">
        <v>12</v>
      </c>
      <c r="S621">
        <v>25</v>
      </c>
      <c r="T621">
        <v>1071</v>
      </c>
      <c r="U621">
        <v>272</v>
      </c>
      <c r="V621">
        <v>247268</v>
      </c>
      <c r="W621">
        <v>79</v>
      </c>
    </row>
    <row r="622" spans="1:23" x14ac:dyDescent="0.2">
      <c r="A622" t="s">
        <v>780</v>
      </c>
      <c r="B622" t="s">
        <v>157</v>
      </c>
      <c r="C622">
        <v>23.768066167831421</v>
      </c>
      <c r="D622">
        <v>283</v>
      </c>
      <c r="E622">
        <v>381</v>
      </c>
      <c r="F622">
        <v>8</v>
      </c>
      <c r="G622">
        <v>7</v>
      </c>
      <c r="H622">
        <v>1.5106382978723401</v>
      </c>
      <c r="I622">
        <v>1.130434782608696</v>
      </c>
      <c r="J622">
        <v>1.6595744680851059</v>
      </c>
      <c r="K622">
        <v>1.468085106382979</v>
      </c>
      <c r="L622">
        <v>6.7142857142857144</v>
      </c>
      <c r="M622">
        <v>2</v>
      </c>
      <c r="N622">
        <v>2</v>
      </c>
      <c r="O622">
        <v>2</v>
      </c>
      <c r="P622">
        <v>69</v>
      </c>
      <c r="Q622">
        <v>47</v>
      </c>
      <c r="R622">
        <v>7</v>
      </c>
      <c r="S622">
        <v>15</v>
      </c>
      <c r="T622">
        <v>627</v>
      </c>
      <c r="U622">
        <v>92</v>
      </c>
      <c r="V622">
        <v>71</v>
      </c>
      <c r="W622">
        <v>78</v>
      </c>
    </row>
    <row r="623" spans="1:23" x14ac:dyDescent="0.2">
      <c r="A623" t="s">
        <v>781</v>
      </c>
      <c r="B623" t="s">
        <v>157</v>
      </c>
      <c r="C623">
        <v>220.15137815475461</v>
      </c>
      <c r="D623">
        <v>21714</v>
      </c>
      <c r="E623">
        <v>97784</v>
      </c>
      <c r="F623">
        <v>17</v>
      </c>
      <c r="G623">
        <v>16</v>
      </c>
      <c r="H623">
        <v>0</v>
      </c>
      <c r="I623">
        <v>1.032520325203252</v>
      </c>
      <c r="J623">
        <v>1.984375</v>
      </c>
      <c r="K623">
        <v>1.921875</v>
      </c>
      <c r="L623">
        <v>4</v>
      </c>
      <c r="M623">
        <v>0</v>
      </c>
      <c r="N623">
        <v>2</v>
      </c>
      <c r="O623">
        <v>2</v>
      </c>
      <c r="P623">
        <v>123</v>
      </c>
      <c r="Q623">
        <v>64</v>
      </c>
      <c r="R623">
        <v>16</v>
      </c>
      <c r="S623">
        <v>21</v>
      </c>
      <c r="T623">
        <v>1217</v>
      </c>
      <c r="U623">
        <v>304</v>
      </c>
      <c r="V623">
        <v>0</v>
      </c>
      <c r="W623">
        <v>127</v>
      </c>
    </row>
    <row r="624" spans="1:23" x14ac:dyDescent="0.2">
      <c r="A624" t="s">
        <v>782</v>
      </c>
      <c r="B624" t="s">
        <v>157</v>
      </c>
      <c r="C624">
        <v>5414.0822517871857</v>
      </c>
      <c r="D624">
        <v>4034</v>
      </c>
      <c r="E624">
        <v>4449</v>
      </c>
      <c r="F624">
        <v>13</v>
      </c>
      <c r="G624">
        <v>12</v>
      </c>
      <c r="H624">
        <v>5375.391304347826</v>
      </c>
      <c r="I624">
        <v>1.128571428571429</v>
      </c>
      <c r="J624">
        <v>1.7173913043478259</v>
      </c>
      <c r="K624">
        <v>1.5217391304347829</v>
      </c>
      <c r="L624">
        <v>3.833333333333333</v>
      </c>
      <c r="M624">
        <v>39701</v>
      </c>
      <c r="N624">
        <v>2</v>
      </c>
      <c r="O624">
        <v>5</v>
      </c>
      <c r="P624">
        <v>70</v>
      </c>
      <c r="Q624">
        <v>46</v>
      </c>
      <c r="R624">
        <v>12</v>
      </c>
      <c r="S624">
        <v>25</v>
      </c>
      <c r="T624">
        <v>1071</v>
      </c>
      <c r="U624">
        <v>272</v>
      </c>
      <c r="V624">
        <v>247268</v>
      </c>
      <c r="W624">
        <v>79</v>
      </c>
    </row>
    <row r="625" spans="1:23" x14ac:dyDescent="0.2">
      <c r="A625" t="s">
        <v>783</v>
      </c>
      <c r="B625" t="s">
        <v>157</v>
      </c>
      <c r="C625">
        <v>5624.7025279998779</v>
      </c>
      <c r="D625">
        <v>6543</v>
      </c>
      <c r="E625">
        <v>18186</v>
      </c>
      <c r="F625">
        <v>13</v>
      </c>
      <c r="G625">
        <v>12</v>
      </c>
      <c r="H625">
        <v>5549.304347826087</v>
      </c>
      <c r="I625">
        <v>1.112676056338028</v>
      </c>
      <c r="J625">
        <v>1.7173913043478259</v>
      </c>
      <c r="K625">
        <v>1.543478260869565</v>
      </c>
      <c r="L625">
        <v>3.833333333333333</v>
      </c>
      <c r="M625">
        <v>39701</v>
      </c>
      <c r="N625">
        <v>2</v>
      </c>
      <c r="O625">
        <v>5</v>
      </c>
      <c r="P625">
        <v>71</v>
      </c>
      <c r="Q625">
        <v>46</v>
      </c>
      <c r="R625">
        <v>12</v>
      </c>
      <c r="S625">
        <v>25</v>
      </c>
      <c r="T625">
        <v>1071</v>
      </c>
      <c r="U625">
        <v>272</v>
      </c>
      <c r="V625">
        <v>255268</v>
      </c>
      <c r="W625">
        <v>79</v>
      </c>
    </row>
    <row r="626" spans="1:23" x14ac:dyDescent="0.2">
      <c r="A626" t="s">
        <v>784</v>
      </c>
      <c r="B626" t="s">
        <v>157</v>
      </c>
      <c r="C626">
        <v>16.563931703567501</v>
      </c>
      <c r="D626">
        <v>501</v>
      </c>
      <c r="E626">
        <v>367</v>
      </c>
      <c r="F626">
        <v>11</v>
      </c>
      <c r="G626">
        <v>10</v>
      </c>
      <c r="H626">
        <v>67.5</v>
      </c>
      <c r="I626">
        <v>1</v>
      </c>
      <c r="J626">
        <v>1.5249999999999999</v>
      </c>
      <c r="K626">
        <v>1.5249999999999999</v>
      </c>
      <c r="L626">
        <v>4</v>
      </c>
      <c r="M626">
        <v>595</v>
      </c>
      <c r="N626">
        <v>1</v>
      </c>
      <c r="O626">
        <v>2</v>
      </c>
      <c r="P626">
        <v>61</v>
      </c>
      <c r="Q626">
        <v>40</v>
      </c>
      <c r="R626">
        <v>10</v>
      </c>
      <c r="S626">
        <v>11</v>
      </c>
      <c r="T626">
        <v>379</v>
      </c>
      <c r="U626">
        <v>92</v>
      </c>
      <c r="V626">
        <v>2700</v>
      </c>
      <c r="W626">
        <v>61</v>
      </c>
    </row>
    <row r="627" spans="1:23" x14ac:dyDescent="0.2">
      <c r="A627" t="s">
        <v>785</v>
      </c>
      <c r="B627" t="s">
        <v>158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</row>
    <row r="628" spans="1:23" x14ac:dyDescent="0.2">
      <c r="A628" t="s">
        <v>786</v>
      </c>
      <c r="B628" t="s">
        <v>157</v>
      </c>
      <c r="C628">
        <v>4.3114752769470206</v>
      </c>
      <c r="D628">
        <v>247</v>
      </c>
      <c r="E628">
        <v>189</v>
      </c>
      <c r="F628">
        <v>8</v>
      </c>
      <c r="G628">
        <v>7</v>
      </c>
      <c r="H628">
        <v>0.6470588235294118</v>
      </c>
      <c r="I628">
        <v>1</v>
      </c>
      <c r="J628">
        <v>1.8235294117647061</v>
      </c>
      <c r="K628">
        <v>1.8235294117647061</v>
      </c>
      <c r="L628">
        <v>4.8571428571428568</v>
      </c>
      <c r="M628">
        <v>6</v>
      </c>
      <c r="N628">
        <v>1</v>
      </c>
      <c r="O628">
        <v>3</v>
      </c>
      <c r="P628">
        <v>62</v>
      </c>
      <c r="Q628">
        <v>34</v>
      </c>
      <c r="R628">
        <v>7</v>
      </c>
      <c r="S628">
        <v>8</v>
      </c>
      <c r="T628">
        <v>210</v>
      </c>
      <c r="U628">
        <v>38</v>
      </c>
      <c r="V628">
        <v>22</v>
      </c>
      <c r="W628">
        <v>62</v>
      </c>
    </row>
    <row r="629" spans="1:23" x14ac:dyDescent="0.2">
      <c r="A629" t="s">
        <v>787</v>
      </c>
      <c r="B629" t="s">
        <v>157</v>
      </c>
      <c r="C629">
        <v>13.747332334518431</v>
      </c>
      <c r="D629">
        <v>12126</v>
      </c>
      <c r="E629">
        <v>23569</v>
      </c>
      <c r="F629">
        <v>17</v>
      </c>
      <c r="G629">
        <v>16</v>
      </c>
      <c r="H629">
        <v>0</v>
      </c>
      <c r="I629">
        <v>1.032520325203252</v>
      </c>
      <c r="J629">
        <v>1.984375</v>
      </c>
      <c r="K629">
        <v>1.921875</v>
      </c>
      <c r="L629">
        <v>4</v>
      </c>
      <c r="M629">
        <v>0</v>
      </c>
      <c r="N629">
        <v>2</v>
      </c>
      <c r="O629">
        <v>2</v>
      </c>
      <c r="P629">
        <v>123</v>
      </c>
      <c r="Q629">
        <v>64</v>
      </c>
      <c r="R629">
        <v>16</v>
      </c>
      <c r="S629">
        <v>21</v>
      </c>
      <c r="T629">
        <v>1217</v>
      </c>
      <c r="U629">
        <v>304</v>
      </c>
      <c r="V629">
        <v>0</v>
      </c>
      <c r="W629">
        <v>127</v>
      </c>
    </row>
    <row r="630" spans="1:23" x14ac:dyDescent="0.2">
      <c r="A630" t="s">
        <v>788</v>
      </c>
      <c r="B630" t="s">
        <v>157</v>
      </c>
      <c r="C630">
        <v>86.575997591018677</v>
      </c>
      <c r="D630">
        <v>454</v>
      </c>
      <c r="E630">
        <v>362</v>
      </c>
      <c r="F630">
        <v>11</v>
      </c>
      <c r="G630">
        <v>10</v>
      </c>
      <c r="H630">
        <v>67.45</v>
      </c>
      <c r="I630">
        <v>1</v>
      </c>
      <c r="J630">
        <v>1.5249999999999999</v>
      </c>
      <c r="K630">
        <v>1.5249999999999999</v>
      </c>
      <c r="L630">
        <v>4</v>
      </c>
      <c r="M630">
        <v>595</v>
      </c>
      <c r="N630">
        <v>1</v>
      </c>
      <c r="O630">
        <v>2</v>
      </c>
      <c r="P630">
        <v>61</v>
      </c>
      <c r="Q630">
        <v>40</v>
      </c>
      <c r="R630">
        <v>10</v>
      </c>
      <c r="S630">
        <v>11</v>
      </c>
      <c r="T630">
        <v>379</v>
      </c>
      <c r="U630">
        <v>92</v>
      </c>
      <c r="V630">
        <v>2698</v>
      </c>
      <c r="W630">
        <v>61</v>
      </c>
    </row>
    <row r="631" spans="1:23" x14ac:dyDescent="0.2">
      <c r="A631" t="s">
        <v>789</v>
      </c>
      <c r="B631" t="s">
        <v>157</v>
      </c>
      <c r="C631">
        <v>22.42338228225708</v>
      </c>
      <c r="D631">
        <v>558</v>
      </c>
      <c r="E631">
        <v>337</v>
      </c>
      <c r="F631">
        <v>11</v>
      </c>
      <c r="G631">
        <v>10</v>
      </c>
      <c r="H631">
        <v>151.85</v>
      </c>
      <c r="I631">
        <v>1</v>
      </c>
      <c r="J631">
        <v>1.5249999999999999</v>
      </c>
      <c r="K631">
        <v>1.5249999999999999</v>
      </c>
      <c r="L631">
        <v>4</v>
      </c>
      <c r="M631">
        <v>855</v>
      </c>
      <c r="N631">
        <v>1</v>
      </c>
      <c r="O631">
        <v>2</v>
      </c>
      <c r="P631">
        <v>61</v>
      </c>
      <c r="Q631">
        <v>40</v>
      </c>
      <c r="R631">
        <v>10</v>
      </c>
      <c r="S631">
        <v>11</v>
      </c>
      <c r="T631">
        <v>379</v>
      </c>
      <c r="U631">
        <v>92</v>
      </c>
      <c r="V631">
        <v>6074</v>
      </c>
      <c r="W631">
        <v>61</v>
      </c>
    </row>
    <row r="632" spans="1:23" x14ac:dyDescent="0.2">
      <c r="A632" t="s">
        <v>790</v>
      </c>
      <c r="B632" t="s">
        <v>157</v>
      </c>
      <c r="C632">
        <v>4.6357870101928711E-2</v>
      </c>
      <c r="D632">
        <v>59</v>
      </c>
      <c r="E632">
        <v>45</v>
      </c>
      <c r="F632">
        <v>11</v>
      </c>
      <c r="G632">
        <v>9</v>
      </c>
      <c r="H632">
        <v>2.8243243243243241</v>
      </c>
      <c r="I632">
        <v>1</v>
      </c>
      <c r="J632">
        <v>1.472972972972973</v>
      </c>
      <c r="K632">
        <v>1.472972972972973</v>
      </c>
      <c r="L632">
        <v>8.2222222222222214</v>
      </c>
      <c r="M632">
        <v>4</v>
      </c>
      <c r="N632">
        <v>1</v>
      </c>
      <c r="O632">
        <v>2</v>
      </c>
      <c r="P632">
        <v>109</v>
      </c>
      <c r="Q632">
        <v>74</v>
      </c>
      <c r="R632">
        <v>9</v>
      </c>
      <c r="S632">
        <v>11</v>
      </c>
      <c r="T632">
        <v>705</v>
      </c>
      <c r="U632">
        <v>84</v>
      </c>
      <c r="V632">
        <v>209</v>
      </c>
      <c r="W632">
        <v>109</v>
      </c>
    </row>
    <row r="633" spans="1:23" x14ac:dyDescent="0.2">
      <c r="A633" t="s">
        <v>791</v>
      </c>
      <c r="B633" t="s">
        <v>158</v>
      </c>
      <c r="C633" t="s">
        <v>159</v>
      </c>
      <c r="D633" t="s">
        <v>159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  <c r="M633" t="s">
        <v>159</v>
      </c>
      <c r="N633" t="s">
        <v>159</v>
      </c>
      <c r="O633" t="s">
        <v>159</v>
      </c>
      <c r="P633" t="s">
        <v>159</v>
      </c>
      <c r="Q633" t="s">
        <v>159</v>
      </c>
      <c r="R633" t="s">
        <v>159</v>
      </c>
      <c r="S633" t="s">
        <v>159</v>
      </c>
      <c r="T633" t="s">
        <v>159</v>
      </c>
      <c r="U633" t="s">
        <v>159</v>
      </c>
      <c r="V633" t="s">
        <v>159</v>
      </c>
      <c r="W633" t="s">
        <v>159</v>
      </c>
    </row>
    <row r="634" spans="1:23" x14ac:dyDescent="0.2">
      <c r="A634" t="s">
        <v>792</v>
      </c>
      <c r="B634" t="s">
        <v>157</v>
      </c>
      <c r="C634">
        <v>5.2996652126312256</v>
      </c>
      <c r="D634">
        <v>157</v>
      </c>
      <c r="E634">
        <v>1666</v>
      </c>
      <c r="F634">
        <v>8</v>
      </c>
      <c r="G634">
        <v>6</v>
      </c>
      <c r="H634">
        <v>0</v>
      </c>
      <c r="I634">
        <v>1.058139534883721</v>
      </c>
      <c r="J634">
        <v>2.84375</v>
      </c>
      <c r="K634">
        <v>2.6875</v>
      </c>
      <c r="L634">
        <v>5.333333333333333</v>
      </c>
      <c r="M634">
        <v>0</v>
      </c>
      <c r="N634">
        <v>6</v>
      </c>
      <c r="O634">
        <v>5</v>
      </c>
      <c r="P634">
        <v>86</v>
      </c>
      <c r="Q634">
        <v>32</v>
      </c>
      <c r="R634">
        <v>6</v>
      </c>
      <c r="S634">
        <v>13</v>
      </c>
      <c r="T634">
        <v>325</v>
      </c>
      <c r="U634">
        <v>57</v>
      </c>
      <c r="V634">
        <v>0</v>
      </c>
      <c r="W634">
        <v>91</v>
      </c>
    </row>
    <row r="635" spans="1:23" x14ac:dyDescent="0.2">
      <c r="A635" t="s">
        <v>793</v>
      </c>
      <c r="B635" t="s">
        <v>157</v>
      </c>
      <c r="C635">
        <v>435.55308413505549</v>
      </c>
      <c r="D635">
        <v>600</v>
      </c>
      <c r="E635">
        <v>4285</v>
      </c>
      <c r="F635">
        <v>7</v>
      </c>
      <c r="G635">
        <v>6</v>
      </c>
      <c r="H635">
        <v>6.25E-2</v>
      </c>
      <c r="I635">
        <v>0.98571428571428577</v>
      </c>
      <c r="J635">
        <v>2.15625</v>
      </c>
      <c r="K635">
        <v>2.1875</v>
      </c>
      <c r="L635">
        <v>5.333333333333333</v>
      </c>
      <c r="M635">
        <v>1</v>
      </c>
      <c r="N635">
        <v>1</v>
      </c>
      <c r="O635">
        <v>5</v>
      </c>
      <c r="P635">
        <v>70</v>
      </c>
      <c r="Q635">
        <v>32</v>
      </c>
      <c r="R635">
        <v>6</v>
      </c>
      <c r="S635">
        <v>6</v>
      </c>
      <c r="T635">
        <v>123</v>
      </c>
      <c r="U635">
        <v>19</v>
      </c>
      <c r="V635">
        <v>2</v>
      </c>
      <c r="W635">
        <v>69</v>
      </c>
    </row>
    <row r="636" spans="1:23" x14ac:dyDescent="0.2">
      <c r="A636" t="s">
        <v>794</v>
      </c>
      <c r="B636" t="s">
        <v>158</v>
      </c>
      <c r="C636" t="s">
        <v>159</v>
      </c>
      <c r="D636" t="s">
        <v>159</v>
      </c>
      <c r="E636" t="s">
        <v>159</v>
      </c>
      <c r="F636" t="s">
        <v>159</v>
      </c>
      <c r="G636" t="s">
        <v>159</v>
      </c>
      <c r="H636" t="s">
        <v>159</v>
      </c>
      <c r="I636" t="s">
        <v>159</v>
      </c>
      <c r="J636" t="s">
        <v>159</v>
      </c>
      <c r="K636" t="s">
        <v>159</v>
      </c>
      <c r="L636" t="s">
        <v>159</v>
      </c>
      <c r="M636" t="s">
        <v>159</v>
      </c>
      <c r="N636" t="s">
        <v>159</v>
      </c>
      <c r="O636" t="s">
        <v>159</v>
      </c>
      <c r="P636" t="s">
        <v>159</v>
      </c>
      <c r="Q636" t="s">
        <v>159</v>
      </c>
      <c r="R636" t="s">
        <v>159</v>
      </c>
      <c r="S636" t="s">
        <v>159</v>
      </c>
      <c r="T636" t="s">
        <v>159</v>
      </c>
      <c r="U636" t="s">
        <v>159</v>
      </c>
      <c r="V636" t="s">
        <v>159</v>
      </c>
      <c r="W636" t="s">
        <v>159</v>
      </c>
    </row>
    <row r="637" spans="1:23" x14ac:dyDescent="0.2">
      <c r="A637" t="s">
        <v>795</v>
      </c>
      <c r="B637" t="s">
        <v>157</v>
      </c>
      <c r="C637">
        <v>12.05661988258362</v>
      </c>
      <c r="D637">
        <v>12790</v>
      </c>
      <c r="E637">
        <v>26490</v>
      </c>
      <c r="F637">
        <v>17</v>
      </c>
      <c r="G637">
        <v>16</v>
      </c>
      <c r="H637">
        <v>0</v>
      </c>
      <c r="I637">
        <v>1.032520325203252</v>
      </c>
      <c r="J637">
        <v>1.984375</v>
      </c>
      <c r="K637">
        <v>1.921875</v>
      </c>
      <c r="L637">
        <v>4</v>
      </c>
      <c r="M637">
        <v>0</v>
      </c>
      <c r="N637">
        <v>2</v>
      </c>
      <c r="O637">
        <v>2</v>
      </c>
      <c r="P637">
        <v>123</v>
      </c>
      <c r="Q637">
        <v>64</v>
      </c>
      <c r="R637">
        <v>16</v>
      </c>
      <c r="S637">
        <v>21</v>
      </c>
      <c r="T637">
        <v>1217</v>
      </c>
      <c r="U637">
        <v>304</v>
      </c>
      <c r="V637">
        <v>0</v>
      </c>
      <c r="W637">
        <v>127</v>
      </c>
    </row>
    <row r="638" spans="1:23" x14ac:dyDescent="0.2">
      <c r="A638" t="s">
        <v>796</v>
      </c>
      <c r="B638" t="s">
        <v>157</v>
      </c>
      <c r="C638">
        <v>6824.9142351150513</v>
      </c>
      <c r="D638">
        <v>858</v>
      </c>
      <c r="E638">
        <v>3281</v>
      </c>
      <c r="F638">
        <v>9</v>
      </c>
      <c r="G638">
        <v>8</v>
      </c>
      <c r="H638">
        <v>47.588235294117638</v>
      </c>
      <c r="I638">
        <v>1.056179775280899</v>
      </c>
      <c r="J638">
        <v>1.8431372549019609</v>
      </c>
      <c r="K638">
        <v>1.7450980392156861</v>
      </c>
      <c r="L638">
        <v>6.375</v>
      </c>
      <c r="M638">
        <v>284</v>
      </c>
      <c r="N638">
        <v>2</v>
      </c>
      <c r="O638">
        <v>3</v>
      </c>
      <c r="P638">
        <v>89</v>
      </c>
      <c r="Q638">
        <v>51</v>
      </c>
      <c r="R638">
        <v>8</v>
      </c>
      <c r="S638">
        <v>10</v>
      </c>
      <c r="T638">
        <v>416</v>
      </c>
      <c r="U638">
        <v>63</v>
      </c>
      <c r="V638">
        <v>2427</v>
      </c>
      <c r="W638">
        <v>94</v>
      </c>
    </row>
    <row r="639" spans="1:23" x14ac:dyDescent="0.2">
      <c r="A639" t="s">
        <v>797</v>
      </c>
      <c r="B639" t="s">
        <v>157</v>
      </c>
      <c r="C639">
        <v>1.060210227966309</v>
      </c>
      <c r="D639">
        <v>154</v>
      </c>
      <c r="E639">
        <v>103</v>
      </c>
      <c r="F639">
        <v>8</v>
      </c>
      <c r="G639">
        <v>7</v>
      </c>
      <c r="H639">
        <v>0.6470588235294118</v>
      </c>
      <c r="I639">
        <v>1</v>
      </c>
      <c r="J639">
        <v>1.8235294117647061</v>
      </c>
      <c r="K639">
        <v>1.8235294117647061</v>
      </c>
      <c r="L639">
        <v>4.8571428571428568</v>
      </c>
      <c r="M639">
        <v>6</v>
      </c>
      <c r="N639">
        <v>1</v>
      </c>
      <c r="O639">
        <v>3</v>
      </c>
      <c r="P639">
        <v>62</v>
      </c>
      <c r="Q639">
        <v>34</v>
      </c>
      <c r="R639">
        <v>7</v>
      </c>
      <c r="S639">
        <v>8</v>
      </c>
      <c r="T639">
        <v>210</v>
      </c>
      <c r="U639">
        <v>39</v>
      </c>
      <c r="V639">
        <v>22</v>
      </c>
      <c r="W639">
        <v>62</v>
      </c>
    </row>
    <row r="640" spans="1:23" x14ac:dyDescent="0.2">
      <c r="A640" t="s">
        <v>798</v>
      </c>
      <c r="B640" t="s">
        <v>157</v>
      </c>
      <c r="C640">
        <v>301.33549809455872</v>
      </c>
      <c r="D640">
        <v>1110</v>
      </c>
      <c r="E640">
        <v>18083</v>
      </c>
      <c r="F640">
        <v>7</v>
      </c>
      <c r="G640">
        <v>6</v>
      </c>
      <c r="H640">
        <v>7.1428571428571425E-2</v>
      </c>
      <c r="I640">
        <v>1.188679245283019</v>
      </c>
      <c r="J640">
        <v>2.25</v>
      </c>
      <c r="K640">
        <v>1.892857142857143</v>
      </c>
      <c r="L640">
        <v>4.666666666666667</v>
      </c>
      <c r="M640">
        <v>1</v>
      </c>
      <c r="N640">
        <v>5</v>
      </c>
      <c r="O640">
        <v>4</v>
      </c>
      <c r="P640">
        <v>53</v>
      </c>
      <c r="Q640">
        <v>28</v>
      </c>
      <c r="R640">
        <v>6</v>
      </c>
      <c r="S640">
        <v>11</v>
      </c>
      <c r="T640">
        <v>245</v>
      </c>
      <c r="U640">
        <v>47</v>
      </c>
      <c r="V640">
        <v>2</v>
      </c>
      <c r="W640">
        <v>63</v>
      </c>
    </row>
    <row r="641" spans="1:23" x14ac:dyDescent="0.2">
      <c r="A641" t="s">
        <v>799</v>
      </c>
      <c r="B641" t="s">
        <v>157</v>
      </c>
      <c r="C641">
        <v>400.67850875854492</v>
      </c>
      <c r="D641">
        <v>1364</v>
      </c>
      <c r="E641">
        <v>1782</v>
      </c>
      <c r="F641">
        <v>11</v>
      </c>
      <c r="G641">
        <v>10</v>
      </c>
      <c r="H641">
        <v>149.27500000000001</v>
      </c>
      <c r="I641">
        <v>1</v>
      </c>
      <c r="J641">
        <v>1.5249999999999999</v>
      </c>
      <c r="K641">
        <v>1.5249999999999999</v>
      </c>
      <c r="L641">
        <v>4</v>
      </c>
      <c r="M641">
        <v>855</v>
      </c>
      <c r="N641">
        <v>1</v>
      </c>
      <c r="O641">
        <v>2</v>
      </c>
      <c r="P641">
        <v>61</v>
      </c>
      <c r="Q641">
        <v>40</v>
      </c>
      <c r="R641">
        <v>10</v>
      </c>
      <c r="S641">
        <v>11</v>
      </c>
      <c r="T641">
        <v>379</v>
      </c>
      <c r="U641">
        <v>93</v>
      </c>
      <c r="V641">
        <v>5971</v>
      </c>
      <c r="W641">
        <v>61</v>
      </c>
    </row>
    <row r="642" spans="1:23" x14ac:dyDescent="0.2">
      <c r="A642" t="s">
        <v>800</v>
      </c>
      <c r="B642" t="s">
        <v>158</v>
      </c>
      <c r="C642" t="s">
        <v>159</v>
      </c>
      <c r="D642" t="s">
        <v>159</v>
      </c>
      <c r="E642" t="s">
        <v>159</v>
      </c>
      <c r="F642" t="s">
        <v>159</v>
      </c>
      <c r="G642" t="s">
        <v>159</v>
      </c>
      <c r="H642" t="s">
        <v>159</v>
      </c>
      <c r="I642" t="s">
        <v>159</v>
      </c>
      <c r="J642" t="s">
        <v>159</v>
      </c>
      <c r="K642" t="s">
        <v>159</v>
      </c>
      <c r="L642" t="s">
        <v>159</v>
      </c>
      <c r="M642" t="s">
        <v>159</v>
      </c>
      <c r="N642" t="s">
        <v>159</v>
      </c>
      <c r="O642" t="s">
        <v>159</v>
      </c>
      <c r="P642" t="s">
        <v>159</v>
      </c>
      <c r="Q642" t="s">
        <v>159</v>
      </c>
      <c r="R642" t="s">
        <v>159</v>
      </c>
      <c r="S642" t="s">
        <v>159</v>
      </c>
      <c r="T642" t="s">
        <v>159</v>
      </c>
      <c r="U642" t="s">
        <v>159</v>
      </c>
      <c r="V642" t="s">
        <v>159</v>
      </c>
      <c r="W642" t="s">
        <v>159</v>
      </c>
    </row>
    <row r="643" spans="1:23" x14ac:dyDescent="0.2">
      <c r="A643" t="s">
        <v>801</v>
      </c>
      <c r="B643" t="s">
        <v>158</v>
      </c>
      <c r="C643" t="s">
        <v>159</v>
      </c>
      <c r="D643" t="s">
        <v>159</v>
      </c>
      <c r="E643" t="s">
        <v>159</v>
      </c>
      <c r="F643" t="s">
        <v>159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  <c r="W643" t="s">
        <v>159</v>
      </c>
    </row>
    <row r="644" spans="1:23" x14ac:dyDescent="0.2">
      <c r="A644" t="s">
        <v>802</v>
      </c>
      <c r="B644" t="s">
        <v>157</v>
      </c>
      <c r="C644">
        <v>7.1580204963684082</v>
      </c>
      <c r="D644">
        <v>8371</v>
      </c>
      <c r="E644">
        <v>13126</v>
      </c>
      <c r="F644">
        <v>17</v>
      </c>
      <c r="G644">
        <v>16</v>
      </c>
      <c r="H644">
        <v>0</v>
      </c>
      <c r="I644">
        <v>1.032520325203252</v>
      </c>
      <c r="J644">
        <v>1.984375</v>
      </c>
      <c r="K644">
        <v>1.921875</v>
      </c>
      <c r="L644">
        <v>4</v>
      </c>
      <c r="M644">
        <v>0</v>
      </c>
      <c r="N644">
        <v>2</v>
      </c>
      <c r="O644">
        <v>2</v>
      </c>
      <c r="P644">
        <v>123</v>
      </c>
      <c r="Q644">
        <v>64</v>
      </c>
      <c r="R644">
        <v>16</v>
      </c>
      <c r="S644">
        <v>21</v>
      </c>
      <c r="T644">
        <v>1217</v>
      </c>
      <c r="U644">
        <v>304</v>
      </c>
      <c r="V644">
        <v>0</v>
      </c>
      <c r="W644">
        <v>127</v>
      </c>
    </row>
    <row r="645" spans="1:23" x14ac:dyDescent="0.2">
      <c r="A645" t="s">
        <v>803</v>
      </c>
      <c r="B645" t="s">
        <v>157</v>
      </c>
      <c r="C645">
        <v>5480.2450659275046</v>
      </c>
      <c r="D645">
        <v>5298</v>
      </c>
      <c r="E645">
        <v>18848</v>
      </c>
      <c r="F645">
        <v>13</v>
      </c>
      <c r="G645">
        <v>12</v>
      </c>
      <c r="H645">
        <v>5549.304347826087</v>
      </c>
      <c r="I645">
        <v>1.2068965517241379</v>
      </c>
      <c r="J645">
        <v>1.5217391304347829</v>
      </c>
      <c r="K645">
        <v>1.2608695652173909</v>
      </c>
      <c r="L645">
        <v>3.833333333333333</v>
      </c>
      <c r="M645">
        <v>39701</v>
      </c>
      <c r="N645">
        <v>2</v>
      </c>
      <c r="O645">
        <v>3</v>
      </c>
      <c r="P645">
        <v>58</v>
      </c>
      <c r="Q645">
        <v>46</v>
      </c>
      <c r="R645">
        <v>12</v>
      </c>
      <c r="S645">
        <v>25</v>
      </c>
      <c r="T645">
        <v>1080</v>
      </c>
      <c r="U645">
        <v>275</v>
      </c>
      <c r="V645">
        <v>255268</v>
      </c>
      <c r="W645">
        <v>70</v>
      </c>
    </row>
    <row r="646" spans="1:23" x14ac:dyDescent="0.2">
      <c r="A646" t="s">
        <v>804</v>
      </c>
      <c r="B646" t="s">
        <v>157</v>
      </c>
      <c r="C646">
        <v>1271.3297076225281</v>
      </c>
      <c r="D646">
        <v>2305</v>
      </c>
      <c r="E646">
        <v>3821</v>
      </c>
      <c r="F646">
        <v>10</v>
      </c>
      <c r="G646">
        <v>9</v>
      </c>
      <c r="H646">
        <v>0.69811320754716977</v>
      </c>
      <c r="I646">
        <v>1</v>
      </c>
      <c r="J646">
        <v>2.0188679245283021</v>
      </c>
      <c r="K646">
        <v>2.0188679245283021</v>
      </c>
      <c r="L646">
        <v>5.8888888888888893</v>
      </c>
      <c r="M646">
        <v>8</v>
      </c>
      <c r="N646">
        <v>1</v>
      </c>
      <c r="O646">
        <v>3</v>
      </c>
      <c r="P646">
        <v>107</v>
      </c>
      <c r="Q646">
        <v>53</v>
      </c>
      <c r="R646">
        <v>9</v>
      </c>
      <c r="S646">
        <v>10</v>
      </c>
      <c r="T646">
        <v>423</v>
      </c>
      <c r="U646">
        <v>66</v>
      </c>
      <c r="V646">
        <v>37</v>
      </c>
      <c r="W646">
        <v>107</v>
      </c>
    </row>
    <row r="647" spans="1:23" x14ac:dyDescent="0.2">
      <c r="A647" t="s">
        <v>805</v>
      </c>
      <c r="B647" t="s">
        <v>157</v>
      </c>
      <c r="C647">
        <v>133.75187039375311</v>
      </c>
      <c r="D647">
        <v>33</v>
      </c>
      <c r="E647">
        <v>3742</v>
      </c>
      <c r="F647">
        <v>4</v>
      </c>
      <c r="G647">
        <v>4</v>
      </c>
      <c r="H647">
        <v>141023.69230769231</v>
      </c>
      <c r="I647">
        <v>1.570175438596491</v>
      </c>
      <c r="J647">
        <v>3.442307692307693</v>
      </c>
      <c r="K647">
        <v>2.192307692307693</v>
      </c>
      <c r="L647">
        <v>13</v>
      </c>
      <c r="M647">
        <v>2985984</v>
      </c>
      <c r="N647">
        <v>3</v>
      </c>
      <c r="O647">
        <v>3</v>
      </c>
      <c r="P647">
        <v>114</v>
      </c>
      <c r="Q647">
        <v>52</v>
      </c>
      <c r="R647">
        <v>4</v>
      </c>
      <c r="S647">
        <v>12</v>
      </c>
      <c r="T647">
        <v>445</v>
      </c>
      <c r="U647">
        <v>26</v>
      </c>
      <c r="V647">
        <v>7333232</v>
      </c>
      <c r="W647">
        <v>179</v>
      </c>
    </row>
    <row r="648" spans="1:23" x14ac:dyDescent="0.2">
      <c r="A648" t="s">
        <v>806</v>
      </c>
      <c r="B648" t="s">
        <v>157</v>
      </c>
      <c r="C648">
        <v>11.80358266830444</v>
      </c>
      <c r="D648">
        <v>14268</v>
      </c>
      <c r="E648">
        <v>25465</v>
      </c>
      <c r="F648">
        <v>17</v>
      </c>
      <c r="G648">
        <v>16</v>
      </c>
      <c r="H648">
        <v>0</v>
      </c>
      <c r="I648">
        <v>1.032520325203252</v>
      </c>
      <c r="J648">
        <v>1.984375</v>
      </c>
      <c r="K648">
        <v>1.921875</v>
      </c>
      <c r="L648">
        <v>4</v>
      </c>
      <c r="M648">
        <v>0</v>
      </c>
      <c r="N648">
        <v>2</v>
      </c>
      <c r="O648">
        <v>2</v>
      </c>
      <c r="P648">
        <v>123</v>
      </c>
      <c r="Q648">
        <v>64</v>
      </c>
      <c r="R648">
        <v>16</v>
      </c>
      <c r="S648">
        <v>21</v>
      </c>
      <c r="T648">
        <v>1217</v>
      </c>
      <c r="U648">
        <v>304</v>
      </c>
      <c r="V648">
        <v>0</v>
      </c>
      <c r="W648">
        <v>127</v>
      </c>
    </row>
    <row r="649" spans="1:23" x14ac:dyDescent="0.2">
      <c r="A649" t="s">
        <v>807</v>
      </c>
      <c r="B649" t="s">
        <v>157</v>
      </c>
      <c r="C649">
        <v>8.0726273059844971</v>
      </c>
      <c r="D649">
        <v>642</v>
      </c>
      <c r="E649">
        <v>1241</v>
      </c>
      <c r="F649">
        <v>9</v>
      </c>
      <c r="G649">
        <v>8</v>
      </c>
      <c r="H649">
        <v>0.65116279069767447</v>
      </c>
      <c r="I649">
        <v>1</v>
      </c>
      <c r="J649">
        <v>1.441860465116279</v>
      </c>
      <c r="K649">
        <v>1.441860465116279</v>
      </c>
      <c r="L649">
        <v>5.375</v>
      </c>
      <c r="M649">
        <v>7</v>
      </c>
      <c r="N649">
        <v>1</v>
      </c>
      <c r="O649">
        <v>2</v>
      </c>
      <c r="P649">
        <v>62</v>
      </c>
      <c r="Q649">
        <v>43</v>
      </c>
      <c r="R649">
        <v>8</v>
      </c>
      <c r="S649">
        <v>9</v>
      </c>
      <c r="T649">
        <v>325</v>
      </c>
      <c r="U649">
        <v>58</v>
      </c>
      <c r="V649">
        <v>28</v>
      </c>
      <c r="W649">
        <v>62</v>
      </c>
    </row>
    <row r="650" spans="1:23" x14ac:dyDescent="0.2">
      <c r="A650" t="s">
        <v>808</v>
      </c>
      <c r="B650" t="s">
        <v>157</v>
      </c>
      <c r="C650">
        <v>424.15963649749762</v>
      </c>
      <c r="D650">
        <v>840</v>
      </c>
      <c r="E650">
        <v>21473</v>
      </c>
      <c r="F650">
        <v>7</v>
      </c>
      <c r="G650">
        <v>6</v>
      </c>
      <c r="H650">
        <v>7.1428571428571425E-2</v>
      </c>
      <c r="I650">
        <v>1.1818181818181821</v>
      </c>
      <c r="J650">
        <v>2.3214285714285721</v>
      </c>
      <c r="K650">
        <v>1.964285714285714</v>
      </c>
      <c r="L650">
        <v>4.666666666666667</v>
      </c>
      <c r="M650">
        <v>1</v>
      </c>
      <c r="N650">
        <v>5</v>
      </c>
      <c r="O650">
        <v>4</v>
      </c>
      <c r="P650">
        <v>55</v>
      </c>
      <c r="Q650">
        <v>28</v>
      </c>
      <c r="R650">
        <v>6</v>
      </c>
      <c r="S650">
        <v>11</v>
      </c>
      <c r="T650">
        <v>243</v>
      </c>
      <c r="U650">
        <v>47</v>
      </c>
      <c r="V650">
        <v>2</v>
      </c>
      <c r="W650">
        <v>65</v>
      </c>
    </row>
    <row r="651" spans="1:23" x14ac:dyDescent="0.2">
      <c r="A651" t="s">
        <v>809</v>
      </c>
      <c r="B651" t="s">
        <v>158</v>
      </c>
      <c r="C651" t="s">
        <v>159</v>
      </c>
      <c r="D651" t="s">
        <v>159</v>
      </c>
      <c r="E651" t="s">
        <v>159</v>
      </c>
      <c r="F651" t="s">
        <v>159</v>
      </c>
      <c r="G651" t="s">
        <v>159</v>
      </c>
      <c r="H651" t="s">
        <v>159</v>
      </c>
      <c r="I651" t="s">
        <v>159</v>
      </c>
      <c r="J651" t="s">
        <v>159</v>
      </c>
      <c r="K651" t="s">
        <v>159</v>
      </c>
      <c r="L651" t="s">
        <v>159</v>
      </c>
      <c r="M651" t="s">
        <v>159</v>
      </c>
      <c r="N651" t="s">
        <v>159</v>
      </c>
      <c r="O651" t="s">
        <v>159</v>
      </c>
      <c r="P651" t="s">
        <v>159</v>
      </c>
      <c r="Q651" t="s">
        <v>159</v>
      </c>
      <c r="R651" t="s">
        <v>159</v>
      </c>
      <c r="S651" t="s">
        <v>159</v>
      </c>
      <c r="T651" t="s">
        <v>159</v>
      </c>
      <c r="U651" t="s">
        <v>159</v>
      </c>
      <c r="V651" t="s">
        <v>159</v>
      </c>
      <c r="W651" t="s">
        <v>159</v>
      </c>
    </row>
    <row r="652" spans="1:23" x14ac:dyDescent="0.2">
      <c r="A652" t="s">
        <v>810</v>
      </c>
      <c r="B652" t="s">
        <v>157</v>
      </c>
      <c r="C652">
        <v>97.291712045669556</v>
      </c>
      <c r="D652">
        <v>952</v>
      </c>
      <c r="E652">
        <v>1214</v>
      </c>
      <c r="F652">
        <v>9</v>
      </c>
      <c r="G652">
        <v>8</v>
      </c>
      <c r="H652">
        <v>0.67441860465116277</v>
      </c>
      <c r="I652">
        <v>1</v>
      </c>
      <c r="J652">
        <v>1.930232558139535</v>
      </c>
      <c r="K652">
        <v>1.930232558139535</v>
      </c>
      <c r="L652">
        <v>5.375</v>
      </c>
      <c r="M652">
        <v>7</v>
      </c>
      <c r="N652">
        <v>1</v>
      </c>
      <c r="O652">
        <v>3</v>
      </c>
      <c r="P652">
        <v>83</v>
      </c>
      <c r="Q652">
        <v>43</v>
      </c>
      <c r="R652">
        <v>8</v>
      </c>
      <c r="S652">
        <v>9</v>
      </c>
      <c r="T652">
        <v>304</v>
      </c>
      <c r="U652">
        <v>51</v>
      </c>
      <c r="V652">
        <v>29</v>
      </c>
      <c r="W652">
        <v>83</v>
      </c>
    </row>
    <row r="653" spans="1:23" x14ac:dyDescent="0.2">
      <c r="A653" t="s">
        <v>811</v>
      </c>
      <c r="B653" t="s">
        <v>157</v>
      </c>
      <c r="C653">
        <v>23.313591241836551</v>
      </c>
      <c r="D653">
        <v>230</v>
      </c>
      <c r="E653">
        <v>2598</v>
      </c>
      <c r="F653">
        <v>8</v>
      </c>
      <c r="G653">
        <v>6</v>
      </c>
      <c r="H653">
        <v>0</v>
      </c>
      <c r="I653">
        <v>1.058139534883721</v>
      </c>
      <c r="J653">
        <v>2.84375</v>
      </c>
      <c r="K653">
        <v>2.6875</v>
      </c>
      <c r="L653">
        <v>5.333333333333333</v>
      </c>
      <c r="M653">
        <v>0</v>
      </c>
      <c r="N653">
        <v>6</v>
      </c>
      <c r="O653">
        <v>5</v>
      </c>
      <c r="P653">
        <v>86</v>
      </c>
      <c r="Q653">
        <v>32</v>
      </c>
      <c r="R653">
        <v>6</v>
      </c>
      <c r="S653">
        <v>13</v>
      </c>
      <c r="T653">
        <v>325</v>
      </c>
      <c r="U653">
        <v>57</v>
      </c>
      <c r="V653">
        <v>0</v>
      </c>
      <c r="W653">
        <v>91</v>
      </c>
    </row>
    <row r="654" spans="1:23" x14ac:dyDescent="0.2">
      <c r="A654" t="s">
        <v>812</v>
      </c>
      <c r="B654" t="s">
        <v>158</v>
      </c>
      <c r="C654" t="s">
        <v>159</v>
      </c>
      <c r="D654" t="s">
        <v>159</v>
      </c>
      <c r="E654" t="s">
        <v>159</v>
      </c>
      <c r="F654" t="s">
        <v>159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  <c r="T654" t="s">
        <v>159</v>
      </c>
      <c r="U654" t="s">
        <v>159</v>
      </c>
      <c r="V654" t="s">
        <v>159</v>
      </c>
      <c r="W654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6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814</v>
      </c>
      <c r="B2" t="s">
        <v>158</v>
      </c>
      <c r="C2" t="s">
        <v>159</v>
      </c>
      <c r="D2" t="s">
        <v>159</v>
      </c>
      <c r="E2" t="s">
        <v>159</v>
      </c>
      <c r="F2" t="s">
        <v>159</v>
      </c>
      <c r="G2" t="s">
        <v>159</v>
      </c>
      <c r="H2" t="s">
        <v>159</v>
      </c>
      <c r="I2" t="s">
        <v>159</v>
      </c>
      <c r="J2" t="s">
        <v>159</v>
      </c>
      <c r="K2" t="s">
        <v>159</v>
      </c>
      <c r="L2" t="s">
        <v>159</v>
      </c>
      <c r="M2" t="s">
        <v>159</v>
      </c>
      <c r="N2" t="s">
        <v>159</v>
      </c>
      <c r="O2" t="s">
        <v>159</v>
      </c>
      <c r="P2" t="s">
        <v>159</v>
      </c>
      <c r="Q2" t="s">
        <v>159</v>
      </c>
      <c r="R2" t="s">
        <v>159</v>
      </c>
      <c r="S2" t="s">
        <v>159</v>
      </c>
      <c r="T2" t="s">
        <v>159</v>
      </c>
      <c r="U2" t="s">
        <v>159</v>
      </c>
      <c r="V2" t="s">
        <v>159</v>
      </c>
      <c r="W2" t="s">
        <v>159</v>
      </c>
    </row>
    <row r="3" spans="1:23" x14ac:dyDescent="0.2">
      <c r="A3" t="s">
        <v>815</v>
      </c>
      <c r="B3" t="s">
        <v>158</v>
      </c>
      <c r="C3" t="s">
        <v>159</v>
      </c>
      <c r="D3" t="s">
        <v>159</v>
      </c>
      <c r="E3" t="s">
        <v>159</v>
      </c>
      <c r="F3" t="s">
        <v>159</v>
      </c>
      <c r="G3" t="s">
        <v>159</v>
      </c>
      <c r="H3" t="s">
        <v>159</v>
      </c>
      <c r="I3" t="s">
        <v>159</v>
      </c>
      <c r="J3" t="s">
        <v>159</v>
      </c>
      <c r="K3" t="s">
        <v>159</v>
      </c>
      <c r="L3" t="s">
        <v>159</v>
      </c>
      <c r="M3" t="s">
        <v>159</v>
      </c>
      <c r="N3" t="s">
        <v>159</v>
      </c>
      <c r="O3" t="s">
        <v>159</v>
      </c>
      <c r="P3" t="s">
        <v>159</v>
      </c>
      <c r="Q3" t="s">
        <v>159</v>
      </c>
      <c r="R3" t="s">
        <v>159</v>
      </c>
      <c r="S3" t="s">
        <v>159</v>
      </c>
      <c r="T3" t="s">
        <v>159</v>
      </c>
      <c r="U3" t="s">
        <v>159</v>
      </c>
      <c r="V3" t="s">
        <v>159</v>
      </c>
      <c r="W3" t="s">
        <v>159</v>
      </c>
    </row>
    <row r="4" spans="1:23" x14ac:dyDescent="0.2">
      <c r="A4" t="s">
        <v>816</v>
      </c>
      <c r="B4" t="s">
        <v>157</v>
      </c>
      <c r="C4">
        <v>9.9517242908477783</v>
      </c>
      <c r="D4">
        <v>179</v>
      </c>
      <c r="E4">
        <v>1439</v>
      </c>
      <c r="F4">
        <v>8</v>
      </c>
      <c r="G4">
        <v>6</v>
      </c>
      <c r="H4">
        <v>0</v>
      </c>
      <c r="I4">
        <v>1.0574712643678159</v>
      </c>
      <c r="J4">
        <v>2.875</v>
      </c>
      <c r="K4">
        <v>2.71875</v>
      </c>
      <c r="L4">
        <v>5.333333333333333</v>
      </c>
      <c r="M4">
        <v>0</v>
      </c>
      <c r="N4">
        <v>6</v>
      </c>
      <c r="O4">
        <v>5</v>
      </c>
      <c r="P4">
        <v>87</v>
      </c>
      <c r="Q4">
        <v>32</v>
      </c>
      <c r="R4">
        <v>6</v>
      </c>
      <c r="S4">
        <v>13</v>
      </c>
      <c r="T4">
        <v>324</v>
      </c>
      <c r="U4">
        <v>57</v>
      </c>
      <c r="V4">
        <v>0</v>
      </c>
      <c r="W4">
        <v>92</v>
      </c>
    </row>
    <row r="5" spans="1:23" x14ac:dyDescent="0.2">
      <c r="A5" t="s">
        <v>817</v>
      </c>
      <c r="B5" t="s">
        <v>158</v>
      </c>
      <c r="C5" t="s">
        <v>159</v>
      </c>
      <c r="D5" t="s">
        <v>159</v>
      </c>
      <c r="E5" t="s">
        <v>159</v>
      </c>
      <c r="F5" t="s">
        <v>159</v>
      </c>
      <c r="G5" t="s">
        <v>159</v>
      </c>
      <c r="H5" t="s">
        <v>159</v>
      </c>
      <c r="I5" t="s">
        <v>159</v>
      </c>
      <c r="J5" t="s">
        <v>159</v>
      </c>
      <c r="K5" t="s">
        <v>159</v>
      </c>
      <c r="L5" t="s">
        <v>159</v>
      </c>
      <c r="M5" t="s">
        <v>159</v>
      </c>
      <c r="N5" t="s">
        <v>159</v>
      </c>
      <c r="O5" t="s">
        <v>159</v>
      </c>
      <c r="P5" t="s">
        <v>159</v>
      </c>
      <c r="Q5" t="s">
        <v>159</v>
      </c>
      <c r="R5" t="s">
        <v>159</v>
      </c>
      <c r="S5" t="s">
        <v>159</v>
      </c>
      <c r="T5" t="s">
        <v>159</v>
      </c>
      <c r="U5" t="s">
        <v>159</v>
      </c>
      <c r="V5" t="s">
        <v>159</v>
      </c>
      <c r="W5" t="s">
        <v>159</v>
      </c>
    </row>
    <row r="6" spans="1:23" x14ac:dyDescent="0.2">
      <c r="A6" t="s">
        <v>818</v>
      </c>
      <c r="B6" t="s">
        <v>158</v>
      </c>
      <c r="C6" t="s">
        <v>159</v>
      </c>
      <c r="D6" t="s">
        <v>159</v>
      </c>
      <c r="E6" t="s">
        <v>159</v>
      </c>
      <c r="F6" t="s">
        <v>159</v>
      </c>
      <c r="G6" t="s">
        <v>159</v>
      </c>
      <c r="H6" t="s">
        <v>159</v>
      </c>
      <c r="I6" t="s">
        <v>159</v>
      </c>
      <c r="J6" t="s">
        <v>159</v>
      </c>
      <c r="K6" t="s">
        <v>159</v>
      </c>
      <c r="L6" t="s">
        <v>159</v>
      </c>
      <c r="M6" t="s">
        <v>159</v>
      </c>
      <c r="N6" t="s">
        <v>159</v>
      </c>
      <c r="O6" t="s">
        <v>159</v>
      </c>
      <c r="P6" t="s">
        <v>159</v>
      </c>
      <c r="Q6" t="s">
        <v>159</v>
      </c>
      <c r="R6" t="s">
        <v>159</v>
      </c>
      <c r="S6" t="s">
        <v>159</v>
      </c>
      <c r="T6" t="s">
        <v>159</v>
      </c>
      <c r="U6" t="s">
        <v>159</v>
      </c>
      <c r="V6" t="s">
        <v>159</v>
      </c>
      <c r="W6" t="s">
        <v>159</v>
      </c>
    </row>
    <row r="7" spans="1:23" x14ac:dyDescent="0.2">
      <c r="A7" t="s">
        <v>819</v>
      </c>
      <c r="B7" t="s">
        <v>157</v>
      </c>
      <c r="C7">
        <v>65.748070955276489</v>
      </c>
      <c r="D7">
        <v>818</v>
      </c>
      <c r="E7">
        <v>1052</v>
      </c>
      <c r="F7">
        <v>9</v>
      </c>
      <c r="G7">
        <v>8</v>
      </c>
      <c r="H7">
        <v>0.67441860465116277</v>
      </c>
      <c r="I7">
        <v>1</v>
      </c>
      <c r="J7">
        <v>1.9069767441860459</v>
      </c>
      <c r="K7">
        <v>1.9069767441860459</v>
      </c>
      <c r="L7">
        <v>5.375</v>
      </c>
      <c r="M7">
        <v>7</v>
      </c>
      <c r="N7">
        <v>1</v>
      </c>
      <c r="O7">
        <v>3</v>
      </c>
      <c r="P7">
        <v>82</v>
      </c>
      <c r="Q7">
        <v>43</v>
      </c>
      <c r="R7">
        <v>8</v>
      </c>
      <c r="S7">
        <v>9</v>
      </c>
      <c r="T7">
        <v>305</v>
      </c>
      <c r="U7">
        <v>51</v>
      </c>
      <c r="V7">
        <v>29</v>
      </c>
      <c r="W7">
        <v>82</v>
      </c>
    </row>
    <row r="8" spans="1:23" x14ac:dyDescent="0.2">
      <c r="A8" t="s">
        <v>820</v>
      </c>
      <c r="B8" t="s">
        <v>157</v>
      </c>
      <c r="C8">
        <v>390.67105746269232</v>
      </c>
      <c r="D8">
        <v>540</v>
      </c>
      <c r="E8">
        <v>2979</v>
      </c>
      <c r="F8">
        <v>7</v>
      </c>
      <c r="G8">
        <v>6</v>
      </c>
      <c r="H8">
        <v>6.25E-2</v>
      </c>
      <c r="I8">
        <v>0.98591549295774639</v>
      </c>
      <c r="J8">
        <v>2.1875</v>
      </c>
      <c r="K8">
        <v>2.21875</v>
      </c>
      <c r="L8">
        <v>5.333333333333333</v>
      </c>
      <c r="M8">
        <v>1</v>
      </c>
      <c r="N8">
        <v>1</v>
      </c>
      <c r="O8">
        <v>4</v>
      </c>
      <c r="P8">
        <v>71</v>
      </c>
      <c r="Q8">
        <v>32</v>
      </c>
      <c r="R8">
        <v>6</v>
      </c>
      <c r="S8">
        <v>6</v>
      </c>
      <c r="T8">
        <v>122</v>
      </c>
      <c r="U8">
        <v>19</v>
      </c>
      <c r="V8">
        <v>2</v>
      </c>
      <c r="W8">
        <v>70</v>
      </c>
    </row>
    <row r="9" spans="1:23" x14ac:dyDescent="0.2">
      <c r="A9" t="s">
        <v>821</v>
      </c>
      <c r="B9" t="s">
        <v>157</v>
      </c>
      <c r="C9">
        <v>636.42277693748474</v>
      </c>
      <c r="D9">
        <v>716</v>
      </c>
      <c r="E9">
        <v>10139</v>
      </c>
      <c r="F9">
        <v>7</v>
      </c>
      <c r="G9">
        <v>6</v>
      </c>
      <c r="H9">
        <v>7.1428571428571425E-2</v>
      </c>
      <c r="I9">
        <v>1.1923076923076921</v>
      </c>
      <c r="J9">
        <v>2.214285714285714</v>
      </c>
      <c r="K9">
        <v>1.857142857142857</v>
      </c>
      <c r="L9">
        <v>4.666666666666667</v>
      </c>
      <c r="M9">
        <v>1</v>
      </c>
      <c r="N9">
        <v>5</v>
      </c>
      <c r="O9">
        <v>4</v>
      </c>
      <c r="P9">
        <v>52</v>
      </c>
      <c r="Q9">
        <v>28</v>
      </c>
      <c r="R9">
        <v>6</v>
      </c>
      <c r="S9">
        <v>11</v>
      </c>
      <c r="T9">
        <v>246</v>
      </c>
      <c r="U9">
        <v>48</v>
      </c>
      <c r="V9">
        <v>2</v>
      </c>
      <c r="W9">
        <v>62</v>
      </c>
    </row>
    <row r="10" spans="1:23" x14ac:dyDescent="0.2">
      <c r="A10" t="s">
        <v>822</v>
      </c>
      <c r="B10" t="s">
        <v>157</v>
      </c>
      <c r="C10">
        <v>5.5567855834960938</v>
      </c>
      <c r="D10">
        <v>169</v>
      </c>
      <c r="E10">
        <v>1143</v>
      </c>
      <c r="F10">
        <v>8</v>
      </c>
      <c r="G10">
        <v>6</v>
      </c>
      <c r="H10">
        <v>0</v>
      </c>
      <c r="I10">
        <v>1.0574712643678159</v>
      </c>
      <c r="J10">
        <v>2.875</v>
      </c>
      <c r="K10">
        <v>2.71875</v>
      </c>
      <c r="L10">
        <v>5.333333333333333</v>
      </c>
      <c r="M10">
        <v>0</v>
      </c>
      <c r="N10">
        <v>6</v>
      </c>
      <c r="O10">
        <v>5</v>
      </c>
      <c r="P10">
        <v>87</v>
      </c>
      <c r="Q10">
        <v>32</v>
      </c>
      <c r="R10">
        <v>6</v>
      </c>
      <c r="S10">
        <v>13</v>
      </c>
      <c r="T10">
        <v>324</v>
      </c>
      <c r="U10">
        <v>57</v>
      </c>
      <c r="V10">
        <v>0</v>
      </c>
      <c r="W10">
        <v>92</v>
      </c>
    </row>
    <row r="11" spans="1:23" x14ac:dyDescent="0.2">
      <c r="A11" t="s">
        <v>823</v>
      </c>
      <c r="B11" t="s">
        <v>157</v>
      </c>
      <c r="C11">
        <v>295.42907476425171</v>
      </c>
      <c r="D11">
        <v>678</v>
      </c>
      <c r="E11">
        <v>10956</v>
      </c>
      <c r="F11">
        <v>7</v>
      </c>
      <c r="G11">
        <v>6</v>
      </c>
      <c r="H11">
        <v>7.1428571428571425E-2</v>
      </c>
      <c r="I11">
        <v>1.1923076923076921</v>
      </c>
      <c r="J11">
        <v>2.214285714285714</v>
      </c>
      <c r="K11">
        <v>1.857142857142857</v>
      </c>
      <c r="L11">
        <v>4.666666666666667</v>
      </c>
      <c r="M11">
        <v>1</v>
      </c>
      <c r="N11">
        <v>5</v>
      </c>
      <c r="O11">
        <v>4</v>
      </c>
      <c r="P11">
        <v>52</v>
      </c>
      <c r="Q11">
        <v>28</v>
      </c>
      <c r="R11">
        <v>6</v>
      </c>
      <c r="S11">
        <v>11</v>
      </c>
      <c r="T11">
        <v>246</v>
      </c>
      <c r="U11">
        <v>48</v>
      </c>
      <c r="V11">
        <v>2</v>
      </c>
      <c r="W11">
        <v>62</v>
      </c>
    </row>
    <row r="12" spans="1:23" x14ac:dyDescent="0.2">
      <c r="A12" t="s">
        <v>824</v>
      </c>
      <c r="B12" t="s">
        <v>157</v>
      </c>
      <c r="C12">
        <v>1405.0000975131991</v>
      </c>
      <c r="D12">
        <v>2471</v>
      </c>
      <c r="E12">
        <v>3555</v>
      </c>
      <c r="F12">
        <v>10</v>
      </c>
      <c r="G12">
        <v>9</v>
      </c>
      <c r="H12">
        <v>0.69811320754716977</v>
      </c>
      <c r="I12">
        <v>1</v>
      </c>
      <c r="J12">
        <v>2</v>
      </c>
      <c r="K12">
        <v>2</v>
      </c>
      <c r="L12">
        <v>5.8888888888888893</v>
      </c>
      <c r="M12">
        <v>8</v>
      </c>
      <c r="N12">
        <v>1</v>
      </c>
      <c r="O12">
        <v>3</v>
      </c>
      <c r="P12">
        <v>106</v>
      </c>
      <c r="Q12">
        <v>53</v>
      </c>
      <c r="R12">
        <v>9</v>
      </c>
      <c r="S12">
        <v>10</v>
      </c>
      <c r="T12">
        <v>424</v>
      </c>
      <c r="U12">
        <v>66</v>
      </c>
      <c r="V12">
        <v>37</v>
      </c>
      <c r="W12">
        <v>106</v>
      </c>
    </row>
    <row r="13" spans="1:23" x14ac:dyDescent="0.2">
      <c r="A13" t="s">
        <v>825</v>
      </c>
      <c r="B13" t="s">
        <v>157</v>
      </c>
      <c r="C13">
        <v>7.7110400199890137</v>
      </c>
      <c r="D13">
        <v>176</v>
      </c>
      <c r="E13">
        <v>1388</v>
      </c>
      <c r="F13">
        <v>8</v>
      </c>
      <c r="G13">
        <v>6</v>
      </c>
      <c r="H13">
        <v>0</v>
      </c>
      <c r="I13">
        <v>1.0574712643678159</v>
      </c>
      <c r="J13">
        <v>2.875</v>
      </c>
      <c r="K13">
        <v>2.71875</v>
      </c>
      <c r="L13">
        <v>5.333333333333333</v>
      </c>
      <c r="M13">
        <v>0</v>
      </c>
      <c r="N13">
        <v>6</v>
      </c>
      <c r="O13">
        <v>5</v>
      </c>
      <c r="P13">
        <v>87</v>
      </c>
      <c r="Q13">
        <v>32</v>
      </c>
      <c r="R13">
        <v>6</v>
      </c>
      <c r="S13">
        <v>13</v>
      </c>
      <c r="T13">
        <v>324</v>
      </c>
      <c r="U13">
        <v>57</v>
      </c>
      <c r="V13">
        <v>0</v>
      </c>
      <c r="W13">
        <v>92</v>
      </c>
    </row>
    <row r="14" spans="1:23" x14ac:dyDescent="0.2">
      <c r="A14" t="s">
        <v>826</v>
      </c>
      <c r="B14" t="s">
        <v>157</v>
      </c>
      <c r="C14">
        <v>58.593860626220703</v>
      </c>
      <c r="D14">
        <v>746</v>
      </c>
      <c r="E14">
        <v>794</v>
      </c>
      <c r="F14">
        <v>9</v>
      </c>
      <c r="G14">
        <v>8</v>
      </c>
      <c r="H14">
        <v>0.67441860465116277</v>
      </c>
      <c r="I14">
        <v>1</v>
      </c>
      <c r="J14">
        <v>1.9069767441860459</v>
      </c>
      <c r="K14">
        <v>1.9069767441860459</v>
      </c>
      <c r="L14">
        <v>5.375</v>
      </c>
      <c r="M14">
        <v>7</v>
      </c>
      <c r="N14">
        <v>1</v>
      </c>
      <c r="O14">
        <v>3</v>
      </c>
      <c r="P14">
        <v>82</v>
      </c>
      <c r="Q14">
        <v>43</v>
      </c>
      <c r="R14">
        <v>8</v>
      </c>
      <c r="S14">
        <v>9</v>
      </c>
      <c r="T14">
        <v>305</v>
      </c>
      <c r="U14">
        <v>51</v>
      </c>
      <c r="V14">
        <v>29</v>
      </c>
      <c r="W14">
        <v>82</v>
      </c>
    </row>
    <row r="15" spans="1:23" x14ac:dyDescent="0.2">
      <c r="A15" t="s">
        <v>827</v>
      </c>
      <c r="B15" t="s">
        <v>157</v>
      </c>
      <c r="C15">
        <v>11.289341926574711</v>
      </c>
      <c r="D15">
        <v>331</v>
      </c>
      <c r="E15">
        <v>319</v>
      </c>
      <c r="F15">
        <v>8</v>
      </c>
      <c r="G15">
        <v>7</v>
      </c>
      <c r="H15">
        <v>0.6470588235294118</v>
      </c>
      <c r="I15">
        <v>1</v>
      </c>
      <c r="J15">
        <v>1.794117647058824</v>
      </c>
      <c r="K15">
        <v>1.794117647058824</v>
      </c>
      <c r="L15">
        <v>4.8571428571428568</v>
      </c>
      <c r="M15">
        <v>6</v>
      </c>
      <c r="N15">
        <v>1</v>
      </c>
      <c r="O15">
        <v>3</v>
      </c>
      <c r="P15">
        <v>61</v>
      </c>
      <c r="Q15">
        <v>34</v>
      </c>
      <c r="R15">
        <v>7</v>
      </c>
      <c r="S15">
        <v>8</v>
      </c>
      <c r="T15">
        <v>211</v>
      </c>
      <c r="U15">
        <v>38</v>
      </c>
      <c r="V15">
        <v>22</v>
      </c>
      <c r="W15">
        <v>61</v>
      </c>
    </row>
    <row r="16" spans="1:23" x14ac:dyDescent="0.2">
      <c r="A16" t="s">
        <v>828</v>
      </c>
      <c r="B16" t="s">
        <v>158</v>
      </c>
      <c r="C16" t="s">
        <v>159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  <c r="I16" t="s">
        <v>159</v>
      </c>
      <c r="J16" t="s">
        <v>159</v>
      </c>
      <c r="K16" t="s">
        <v>159</v>
      </c>
      <c r="L16" t="s">
        <v>159</v>
      </c>
      <c r="M16" t="s">
        <v>159</v>
      </c>
      <c r="N16" t="s">
        <v>159</v>
      </c>
      <c r="O16" t="s">
        <v>159</v>
      </c>
      <c r="P16" t="s">
        <v>159</v>
      </c>
      <c r="Q16" t="s">
        <v>159</v>
      </c>
      <c r="R16" t="s">
        <v>159</v>
      </c>
      <c r="S16" t="s">
        <v>159</v>
      </c>
      <c r="T16" t="s">
        <v>159</v>
      </c>
      <c r="U16" t="s">
        <v>159</v>
      </c>
      <c r="V16" t="s">
        <v>159</v>
      </c>
      <c r="W16" t="s">
        <v>159</v>
      </c>
    </row>
    <row r="17" spans="1:23" x14ac:dyDescent="0.2">
      <c r="A17" t="s">
        <v>829</v>
      </c>
      <c r="B17" t="s">
        <v>157</v>
      </c>
      <c r="C17">
        <v>85.070217847824097</v>
      </c>
      <c r="D17">
        <v>903</v>
      </c>
      <c r="E17">
        <v>963</v>
      </c>
      <c r="F17">
        <v>9</v>
      </c>
      <c r="G17">
        <v>8</v>
      </c>
      <c r="H17">
        <v>0.67441860465116277</v>
      </c>
      <c r="I17">
        <v>1</v>
      </c>
      <c r="J17">
        <v>1.9069767441860459</v>
      </c>
      <c r="K17">
        <v>1.9069767441860459</v>
      </c>
      <c r="L17">
        <v>5.375</v>
      </c>
      <c r="M17">
        <v>7</v>
      </c>
      <c r="N17">
        <v>1</v>
      </c>
      <c r="O17">
        <v>3</v>
      </c>
      <c r="P17">
        <v>82</v>
      </c>
      <c r="Q17">
        <v>43</v>
      </c>
      <c r="R17">
        <v>8</v>
      </c>
      <c r="S17">
        <v>9</v>
      </c>
      <c r="T17">
        <v>305</v>
      </c>
      <c r="U17">
        <v>51</v>
      </c>
      <c r="V17">
        <v>29</v>
      </c>
      <c r="W17">
        <v>82</v>
      </c>
    </row>
    <row r="18" spans="1:23" x14ac:dyDescent="0.2">
      <c r="A18" t="s">
        <v>830</v>
      </c>
      <c r="B18" t="s">
        <v>158</v>
      </c>
      <c r="C18" t="s">
        <v>159</v>
      </c>
      <c r="D18" t="s">
        <v>159</v>
      </c>
      <c r="E18" t="s">
        <v>159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  <c r="O18" t="s">
        <v>159</v>
      </c>
      <c r="P18" t="s">
        <v>159</v>
      </c>
      <c r="Q18" t="s">
        <v>159</v>
      </c>
      <c r="R18" t="s">
        <v>159</v>
      </c>
      <c r="S18" t="s">
        <v>159</v>
      </c>
      <c r="T18" t="s">
        <v>159</v>
      </c>
      <c r="U18" t="s">
        <v>159</v>
      </c>
      <c r="V18" t="s">
        <v>159</v>
      </c>
      <c r="W18" t="s">
        <v>159</v>
      </c>
    </row>
    <row r="19" spans="1:23" x14ac:dyDescent="0.2">
      <c r="A19" t="s">
        <v>831</v>
      </c>
      <c r="B19" t="s">
        <v>157</v>
      </c>
      <c r="C19">
        <v>426.5379478931427</v>
      </c>
      <c r="D19">
        <v>168</v>
      </c>
      <c r="E19">
        <v>6570</v>
      </c>
      <c r="F19">
        <v>7</v>
      </c>
      <c r="G19">
        <v>4</v>
      </c>
      <c r="H19">
        <v>9.1666666666666661</v>
      </c>
      <c r="I19">
        <v>1.1445783132530121</v>
      </c>
      <c r="J19">
        <v>3.958333333333333</v>
      </c>
      <c r="K19">
        <v>3.458333333333333</v>
      </c>
      <c r="L19">
        <v>24</v>
      </c>
      <c r="M19">
        <v>24</v>
      </c>
      <c r="N19">
        <v>2</v>
      </c>
      <c r="O19">
        <v>5</v>
      </c>
      <c r="P19">
        <v>332</v>
      </c>
      <c r="Q19">
        <v>96</v>
      </c>
      <c r="R19">
        <v>4</v>
      </c>
      <c r="S19">
        <v>11</v>
      </c>
      <c r="T19">
        <v>676</v>
      </c>
      <c r="U19">
        <v>20</v>
      </c>
      <c r="V19">
        <v>880</v>
      </c>
      <c r="W19">
        <v>380</v>
      </c>
    </row>
    <row r="20" spans="1:23" x14ac:dyDescent="0.2">
      <c r="A20" t="s">
        <v>832</v>
      </c>
      <c r="B20" t="s">
        <v>157</v>
      </c>
      <c r="C20">
        <v>966.73216843605042</v>
      </c>
      <c r="D20">
        <v>2065</v>
      </c>
      <c r="E20">
        <v>3328</v>
      </c>
      <c r="F20">
        <v>10</v>
      </c>
      <c r="G20">
        <v>9</v>
      </c>
      <c r="H20">
        <v>57884043949446.672</v>
      </c>
      <c r="I20">
        <v>1.028846153846154</v>
      </c>
      <c r="J20">
        <v>2.0776699029126209</v>
      </c>
      <c r="K20">
        <v>2.0194174757281549</v>
      </c>
      <c r="L20">
        <v>11.444444444444439</v>
      </c>
      <c r="M20">
        <v>1212982689600000</v>
      </c>
      <c r="N20">
        <v>2</v>
      </c>
      <c r="O20">
        <v>4</v>
      </c>
      <c r="P20">
        <v>208</v>
      </c>
      <c r="Q20">
        <v>103</v>
      </c>
      <c r="R20">
        <v>9</v>
      </c>
      <c r="S20">
        <v>19</v>
      </c>
      <c r="T20">
        <v>1743</v>
      </c>
      <c r="U20">
        <v>144</v>
      </c>
      <c r="V20">
        <v>5962056526793007</v>
      </c>
      <c r="W20">
        <v>214</v>
      </c>
    </row>
    <row r="21" spans="1:23" x14ac:dyDescent="0.2">
      <c r="A21" t="s">
        <v>833</v>
      </c>
      <c r="B21" t="s">
        <v>157</v>
      </c>
      <c r="C21">
        <v>3630.0992646217351</v>
      </c>
      <c r="D21">
        <v>5501</v>
      </c>
      <c r="E21">
        <v>18740</v>
      </c>
      <c r="F21">
        <v>13</v>
      </c>
      <c r="G21">
        <v>12</v>
      </c>
      <c r="H21">
        <v>5549.304347826087</v>
      </c>
      <c r="I21">
        <v>1.2105263157894739</v>
      </c>
      <c r="J21">
        <v>1.5</v>
      </c>
      <c r="K21">
        <v>1.2391304347826091</v>
      </c>
      <c r="L21">
        <v>3.833333333333333</v>
      </c>
      <c r="M21">
        <v>39701</v>
      </c>
      <c r="N21">
        <v>2</v>
      </c>
      <c r="O21">
        <v>3</v>
      </c>
      <c r="P21">
        <v>57</v>
      </c>
      <c r="Q21">
        <v>46</v>
      </c>
      <c r="R21">
        <v>12</v>
      </c>
      <c r="S21">
        <v>25</v>
      </c>
      <c r="T21">
        <v>1081</v>
      </c>
      <c r="U21">
        <v>275</v>
      </c>
      <c r="V21">
        <v>255268</v>
      </c>
      <c r="W21">
        <v>69</v>
      </c>
    </row>
    <row r="22" spans="1:23" x14ac:dyDescent="0.2">
      <c r="A22" t="s">
        <v>834</v>
      </c>
      <c r="B22" t="s">
        <v>157</v>
      </c>
      <c r="C22">
        <v>460.76852798461908</v>
      </c>
      <c r="D22">
        <v>641</v>
      </c>
      <c r="E22">
        <v>4810</v>
      </c>
      <c r="F22">
        <v>7</v>
      </c>
      <c r="G22">
        <v>6</v>
      </c>
      <c r="H22">
        <v>6.25E-2</v>
      </c>
      <c r="I22">
        <v>0.98630136986301364</v>
      </c>
      <c r="J22">
        <v>2.25</v>
      </c>
      <c r="K22">
        <v>2.28125</v>
      </c>
      <c r="L22">
        <v>5.333333333333333</v>
      </c>
      <c r="M22">
        <v>1</v>
      </c>
      <c r="N22">
        <v>1</v>
      </c>
      <c r="O22">
        <v>4</v>
      </c>
      <c r="P22">
        <v>73</v>
      </c>
      <c r="Q22">
        <v>32</v>
      </c>
      <c r="R22">
        <v>6</v>
      </c>
      <c r="S22">
        <v>6</v>
      </c>
      <c r="T22">
        <v>120</v>
      </c>
      <c r="U22">
        <v>19</v>
      </c>
      <c r="V22">
        <v>2</v>
      </c>
      <c r="W22">
        <v>72</v>
      </c>
    </row>
    <row r="23" spans="1:23" x14ac:dyDescent="0.2">
      <c r="A23" t="s">
        <v>835</v>
      </c>
      <c r="B23" t="s">
        <v>157</v>
      </c>
      <c r="C23">
        <v>7.7178719043731689</v>
      </c>
      <c r="D23">
        <v>185</v>
      </c>
      <c r="E23">
        <v>1650</v>
      </c>
      <c r="F23">
        <v>8</v>
      </c>
      <c r="G23">
        <v>6</v>
      </c>
      <c r="H23">
        <v>0</v>
      </c>
      <c r="I23">
        <v>1.056179775280899</v>
      </c>
      <c r="J23">
        <v>2.9375</v>
      </c>
      <c r="K23">
        <v>2.78125</v>
      </c>
      <c r="L23">
        <v>5.333333333333333</v>
      </c>
      <c r="M23">
        <v>0</v>
      </c>
      <c r="N23">
        <v>6</v>
      </c>
      <c r="O23">
        <v>5</v>
      </c>
      <c r="P23">
        <v>89</v>
      </c>
      <c r="Q23">
        <v>32</v>
      </c>
      <c r="R23">
        <v>6</v>
      </c>
      <c r="S23">
        <v>13</v>
      </c>
      <c r="T23">
        <v>322</v>
      </c>
      <c r="U23">
        <v>57</v>
      </c>
      <c r="V23">
        <v>0</v>
      </c>
      <c r="W23">
        <v>94</v>
      </c>
    </row>
    <row r="24" spans="1:23" x14ac:dyDescent="0.2">
      <c r="A24" t="s">
        <v>836</v>
      </c>
      <c r="B24" t="s">
        <v>158</v>
      </c>
      <c r="C24" t="s">
        <v>159</v>
      </c>
      <c r="D24" t="s">
        <v>159</v>
      </c>
      <c r="E24" t="s">
        <v>159</v>
      </c>
      <c r="F24" t="s">
        <v>159</v>
      </c>
      <c r="G24" t="s">
        <v>159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  <c r="S24" t="s">
        <v>159</v>
      </c>
      <c r="T24" t="s">
        <v>159</v>
      </c>
      <c r="U24" t="s">
        <v>159</v>
      </c>
      <c r="V24" t="s">
        <v>159</v>
      </c>
      <c r="W24" t="s">
        <v>159</v>
      </c>
    </row>
    <row r="25" spans="1:23" x14ac:dyDescent="0.2">
      <c r="A25" t="s">
        <v>837</v>
      </c>
      <c r="B25" t="s">
        <v>157</v>
      </c>
      <c r="C25">
        <v>999.01733803749084</v>
      </c>
      <c r="D25">
        <v>2161</v>
      </c>
      <c r="E25">
        <v>3275</v>
      </c>
      <c r="F25">
        <v>10</v>
      </c>
      <c r="G25">
        <v>9</v>
      </c>
      <c r="H25">
        <v>0.69811320754716977</v>
      </c>
      <c r="I25">
        <v>1</v>
      </c>
      <c r="J25">
        <v>2</v>
      </c>
      <c r="K25">
        <v>2</v>
      </c>
      <c r="L25">
        <v>5.8888888888888893</v>
      </c>
      <c r="M25">
        <v>8</v>
      </c>
      <c r="N25">
        <v>1</v>
      </c>
      <c r="O25">
        <v>3</v>
      </c>
      <c r="P25">
        <v>106</v>
      </c>
      <c r="Q25">
        <v>53</v>
      </c>
      <c r="R25">
        <v>9</v>
      </c>
      <c r="S25">
        <v>10</v>
      </c>
      <c r="T25">
        <v>424</v>
      </c>
      <c r="U25">
        <v>66</v>
      </c>
      <c r="V25">
        <v>37</v>
      </c>
      <c r="W25">
        <v>106</v>
      </c>
    </row>
    <row r="26" spans="1:23" x14ac:dyDescent="0.2">
      <c r="A26" t="s">
        <v>838</v>
      </c>
      <c r="B26" t="s">
        <v>157</v>
      </c>
      <c r="C26">
        <v>11.148848533630369</v>
      </c>
      <c r="D26">
        <v>275</v>
      </c>
      <c r="E26">
        <v>377</v>
      </c>
      <c r="F26">
        <v>9</v>
      </c>
      <c r="G26">
        <v>8</v>
      </c>
      <c r="H26">
        <v>130.15686274509801</v>
      </c>
      <c r="I26">
        <v>1.0543478260869561</v>
      </c>
      <c r="J26">
        <v>1.9019607843137261</v>
      </c>
      <c r="K26">
        <v>1.803921568627451</v>
      </c>
      <c r="L26">
        <v>6.375</v>
      </c>
      <c r="M26">
        <v>1056</v>
      </c>
      <c r="N26">
        <v>2</v>
      </c>
      <c r="O26">
        <v>3</v>
      </c>
      <c r="P26">
        <v>92</v>
      </c>
      <c r="Q26">
        <v>51</v>
      </c>
      <c r="R26">
        <v>8</v>
      </c>
      <c r="S26">
        <v>10</v>
      </c>
      <c r="T26">
        <v>413</v>
      </c>
      <c r="U26">
        <v>62</v>
      </c>
      <c r="V26">
        <v>6638</v>
      </c>
      <c r="W26">
        <v>97</v>
      </c>
    </row>
    <row r="27" spans="1:23" x14ac:dyDescent="0.2">
      <c r="A27" t="s">
        <v>839</v>
      </c>
      <c r="B27" t="s">
        <v>157</v>
      </c>
      <c r="C27">
        <v>147.34542083740229</v>
      </c>
      <c r="D27">
        <v>753</v>
      </c>
      <c r="E27">
        <v>1080</v>
      </c>
      <c r="F27">
        <v>9</v>
      </c>
      <c r="G27">
        <v>8</v>
      </c>
      <c r="H27">
        <v>0.67441860465116277</v>
      </c>
      <c r="I27">
        <v>1</v>
      </c>
      <c r="J27">
        <v>1.9069767441860459</v>
      </c>
      <c r="K27">
        <v>1.9069767441860459</v>
      </c>
      <c r="L27">
        <v>5.375</v>
      </c>
      <c r="M27">
        <v>7</v>
      </c>
      <c r="N27">
        <v>1</v>
      </c>
      <c r="O27">
        <v>3</v>
      </c>
      <c r="P27">
        <v>82</v>
      </c>
      <c r="Q27">
        <v>43</v>
      </c>
      <c r="R27">
        <v>8</v>
      </c>
      <c r="S27">
        <v>9</v>
      </c>
      <c r="T27">
        <v>305</v>
      </c>
      <c r="U27">
        <v>51</v>
      </c>
      <c r="V27">
        <v>29</v>
      </c>
      <c r="W27">
        <v>82</v>
      </c>
    </row>
    <row r="28" spans="1:23" x14ac:dyDescent="0.2">
      <c r="A28" t="s">
        <v>840</v>
      </c>
      <c r="B28" t="s">
        <v>157</v>
      </c>
      <c r="C28">
        <v>30.594411849975579</v>
      </c>
      <c r="D28">
        <v>337</v>
      </c>
      <c r="E28">
        <v>319</v>
      </c>
      <c r="F28">
        <v>8</v>
      </c>
      <c r="G28">
        <v>7</v>
      </c>
      <c r="H28">
        <v>0.6470588235294118</v>
      </c>
      <c r="I28">
        <v>1</v>
      </c>
      <c r="J28">
        <v>1.794117647058824</v>
      </c>
      <c r="K28">
        <v>1.794117647058824</v>
      </c>
      <c r="L28">
        <v>4.8571428571428568</v>
      </c>
      <c r="M28">
        <v>6</v>
      </c>
      <c r="N28">
        <v>1</v>
      </c>
      <c r="O28">
        <v>3</v>
      </c>
      <c r="P28">
        <v>61</v>
      </c>
      <c r="Q28">
        <v>34</v>
      </c>
      <c r="R28">
        <v>7</v>
      </c>
      <c r="S28">
        <v>8</v>
      </c>
      <c r="T28">
        <v>211</v>
      </c>
      <c r="U28">
        <v>38</v>
      </c>
      <c r="V28">
        <v>22</v>
      </c>
      <c r="W28">
        <v>61</v>
      </c>
    </row>
    <row r="29" spans="1:23" x14ac:dyDescent="0.2">
      <c r="A29" t="s">
        <v>841</v>
      </c>
      <c r="B29" t="s">
        <v>158</v>
      </c>
      <c r="C29" t="s">
        <v>159</v>
      </c>
      <c r="D29" t="s">
        <v>159</v>
      </c>
      <c r="E29" t="s">
        <v>159</v>
      </c>
      <c r="F29" t="s">
        <v>159</v>
      </c>
      <c r="G29" t="s">
        <v>159</v>
      </c>
      <c r="H29" t="s">
        <v>159</v>
      </c>
      <c r="I29" t="s">
        <v>159</v>
      </c>
      <c r="J29" t="s">
        <v>159</v>
      </c>
      <c r="K29" t="s">
        <v>159</v>
      </c>
      <c r="L29" t="s">
        <v>159</v>
      </c>
      <c r="M29" t="s">
        <v>159</v>
      </c>
      <c r="N29" t="s">
        <v>159</v>
      </c>
      <c r="O29" t="s">
        <v>159</v>
      </c>
      <c r="P29" t="s">
        <v>159</v>
      </c>
      <c r="Q29" t="s">
        <v>159</v>
      </c>
      <c r="R29" t="s">
        <v>159</v>
      </c>
      <c r="S29" t="s">
        <v>159</v>
      </c>
      <c r="T29" t="s">
        <v>159</v>
      </c>
      <c r="U29" t="s">
        <v>159</v>
      </c>
      <c r="V29" t="s">
        <v>159</v>
      </c>
      <c r="W29" t="s">
        <v>159</v>
      </c>
    </row>
    <row r="30" spans="1:23" x14ac:dyDescent="0.2">
      <c r="A30" t="s">
        <v>842</v>
      </c>
      <c r="B30" t="s">
        <v>157</v>
      </c>
      <c r="C30">
        <v>8.2224359512329102</v>
      </c>
      <c r="D30">
        <v>184</v>
      </c>
      <c r="E30">
        <v>1668</v>
      </c>
      <c r="F30">
        <v>8</v>
      </c>
      <c r="G30">
        <v>6</v>
      </c>
      <c r="H30">
        <v>0</v>
      </c>
      <c r="I30">
        <v>1.056179775280899</v>
      </c>
      <c r="J30">
        <v>2.9375</v>
      </c>
      <c r="K30">
        <v>2.78125</v>
      </c>
      <c r="L30">
        <v>5.333333333333333</v>
      </c>
      <c r="M30">
        <v>0</v>
      </c>
      <c r="N30">
        <v>6</v>
      </c>
      <c r="O30">
        <v>5</v>
      </c>
      <c r="P30">
        <v>89</v>
      </c>
      <c r="Q30">
        <v>32</v>
      </c>
      <c r="R30">
        <v>6</v>
      </c>
      <c r="S30">
        <v>13</v>
      </c>
      <c r="T30">
        <v>322</v>
      </c>
      <c r="U30">
        <v>57</v>
      </c>
      <c r="V30">
        <v>0</v>
      </c>
      <c r="W30">
        <v>94</v>
      </c>
    </row>
    <row r="31" spans="1:23" x14ac:dyDescent="0.2">
      <c r="A31" t="s">
        <v>843</v>
      </c>
      <c r="B31" t="s">
        <v>157</v>
      </c>
      <c r="C31">
        <v>121.85332059860229</v>
      </c>
      <c r="D31">
        <v>849</v>
      </c>
      <c r="E31">
        <v>1172</v>
      </c>
      <c r="F31">
        <v>9</v>
      </c>
      <c r="G31">
        <v>8</v>
      </c>
      <c r="H31">
        <v>0.67441860465116277</v>
      </c>
      <c r="I31">
        <v>1</v>
      </c>
      <c r="J31">
        <v>1.9069767441860459</v>
      </c>
      <c r="K31">
        <v>1.9069767441860459</v>
      </c>
      <c r="L31">
        <v>5.375</v>
      </c>
      <c r="M31">
        <v>7</v>
      </c>
      <c r="N31">
        <v>1</v>
      </c>
      <c r="O31">
        <v>3</v>
      </c>
      <c r="P31">
        <v>82</v>
      </c>
      <c r="Q31">
        <v>43</v>
      </c>
      <c r="R31">
        <v>8</v>
      </c>
      <c r="S31">
        <v>9</v>
      </c>
      <c r="T31">
        <v>305</v>
      </c>
      <c r="U31">
        <v>51</v>
      </c>
      <c r="V31">
        <v>29</v>
      </c>
      <c r="W31">
        <v>82</v>
      </c>
    </row>
    <row r="32" spans="1:23" x14ac:dyDescent="0.2">
      <c r="A32" t="s">
        <v>844</v>
      </c>
      <c r="B32" t="s">
        <v>157</v>
      </c>
      <c r="C32">
        <v>1783.5632364749911</v>
      </c>
      <c r="D32">
        <v>2780</v>
      </c>
      <c r="E32">
        <v>4435</v>
      </c>
      <c r="F32">
        <v>10</v>
      </c>
      <c r="G32">
        <v>9</v>
      </c>
      <c r="H32">
        <v>0.69811320754716977</v>
      </c>
      <c r="I32">
        <v>1</v>
      </c>
      <c r="J32">
        <v>2</v>
      </c>
      <c r="K32">
        <v>2</v>
      </c>
      <c r="L32">
        <v>5.8888888888888893</v>
      </c>
      <c r="M32">
        <v>8</v>
      </c>
      <c r="N32">
        <v>1</v>
      </c>
      <c r="O32">
        <v>3</v>
      </c>
      <c r="P32">
        <v>106</v>
      </c>
      <c r="Q32">
        <v>53</v>
      </c>
      <c r="R32">
        <v>9</v>
      </c>
      <c r="S32">
        <v>10</v>
      </c>
      <c r="T32">
        <v>424</v>
      </c>
      <c r="U32">
        <v>66</v>
      </c>
      <c r="V32">
        <v>37</v>
      </c>
      <c r="W32">
        <v>106</v>
      </c>
    </row>
    <row r="33" spans="1:23" x14ac:dyDescent="0.2">
      <c r="A33" t="s">
        <v>845</v>
      </c>
      <c r="B33" t="s">
        <v>157</v>
      </c>
      <c r="C33">
        <v>231.69718241691589</v>
      </c>
      <c r="D33">
        <v>477</v>
      </c>
      <c r="E33">
        <v>2577</v>
      </c>
      <c r="F33">
        <v>7</v>
      </c>
      <c r="G33">
        <v>6</v>
      </c>
      <c r="H33">
        <v>6.25E-2</v>
      </c>
      <c r="I33">
        <v>0.98591549295774639</v>
      </c>
      <c r="J33">
        <v>2.1875</v>
      </c>
      <c r="K33">
        <v>2.21875</v>
      </c>
      <c r="L33">
        <v>5.333333333333333</v>
      </c>
      <c r="M33">
        <v>1</v>
      </c>
      <c r="N33">
        <v>1</v>
      </c>
      <c r="O33">
        <v>4</v>
      </c>
      <c r="P33">
        <v>71</v>
      </c>
      <c r="Q33">
        <v>32</v>
      </c>
      <c r="R33">
        <v>6</v>
      </c>
      <c r="S33">
        <v>6</v>
      </c>
      <c r="T33">
        <v>122</v>
      </c>
      <c r="U33">
        <v>19</v>
      </c>
      <c r="V33">
        <v>2</v>
      </c>
      <c r="W33">
        <v>70</v>
      </c>
    </row>
    <row r="34" spans="1:23" x14ac:dyDescent="0.2">
      <c r="A34" t="s">
        <v>846</v>
      </c>
      <c r="B34" t="s">
        <v>157</v>
      </c>
      <c r="C34">
        <v>123.5991587638855</v>
      </c>
      <c r="D34">
        <v>1057</v>
      </c>
      <c r="E34">
        <v>1406</v>
      </c>
      <c r="F34">
        <v>9</v>
      </c>
      <c r="G34">
        <v>8</v>
      </c>
      <c r="H34">
        <v>0.67441860465116277</v>
      </c>
      <c r="I34">
        <v>1</v>
      </c>
      <c r="J34">
        <v>1.9069767441860459</v>
      </c>
      <c r="K34">
        <v>1.9069767441860459</v>
      </c>
      <c r="L34">
        <v>5.375</v>
      </c>
      <c r="M34">
        <v>7</v>
      </c>
      <c r="N34">
        <v>1</v>
      </c>
      <c r="O34">
        <v>3</v>
      </c>
      <c r="P34">
        <v>82</v>
      </c>
      <c r="Q34">
        <v>43</v>
      </c>
      <c r="R34">
        <v>8</v>
      </c>
      <c r="S34">
        <v>9</v>
      </c>
      <c r="T34">
        <v>305</v>
      </c>
      <c r="U34">
        <v>51</v>
      </c>
      <c r="V34">
        <v>29</v>
      </c>
      <c r="W34">
        <v>82</v>
      </c>
    </row>
    <row r="35" spans="1:23" x14ac:dyDescent="0.2">
      <c r="A35" t="s">
        <v>847</v>
      </c>
      <c r="B35" t="s">
        <v>157</v>
      </c>
      <c r="C35">
        <v>629.55452489852905</v>
      </c>
      <c r="D35">
        <v>1945</v>
      </c>
      <c r="E35">
        <v>2919</v>
      </c>
      <c r="F35">
        <v>10</v>
      </c>
      <c r="G35">
        <v>9</v>
      </c>
      <c r="H35">
        <v>0.69811320754716977</v>
      </c>
      <c r="I35">
        <v>1</v>
      </c>
      <c r="J35">
        <v>2</v>
      </c>
      <c r="K35">
        <v>2</v>
      </c>
      <c r="L35">
        <v>5.8888888888888893</v>
      </c>
      <c r="M35">
        <v>8</v>
      </c>
      <c r="N35">
        <v>1</v>
      </c>
      <c r="O35">
        <v>3</v>
      </c>
      <c r="P35">
        <v>106</v>
      </c>
      <c r="Q35">
        <v>53</v>
      </c>
      <c r="R35">
        <v>9</v>
      </c>
      <c r="S35">
        <v>10</v>
      </c>
      <c r="T35">
        <v>424</v>
      </c>
      <c r="U35">
        <v>66</v>
      </c>
      <c r="V35">
        <v>37</v>
      </c>
      <c r="W35">
        <v>106</v>
      </c>
    </row>
    <row r="36" spans="1:23" x14ac:dyDescent="0.2">
      <c r="A36" t="s">
        <v>848</v>
      </c>
      <c r="B36" t="s">
        <v>157</v>
      </c>
      <c r="C36">
        <v>7.0286858081817627</v>
      </c>
      <c r="D36">
        <v>274</v>
      </c>
      <c r="E36">
        <v>181</v>
      </c>
      <c r="F36">
        <v>8</v>
      </c>
      <c r="G36">
        <v>7</v>
      </c>
      <c r="H36">
        <v>0.6470588235294118</v>
      </c>
      <c r="I36">
        <v>1</v>
      </c>
      <c r="J36">
        <v>1.794117647058824</v>
      </c>
      <c r="K36">
        <v>1.794117647058824</v>
      </c>
      <c r="L36">
        <v>4.8571428571428568</v>
      </c>
      <c r="M36">
        <v>6</v>
      </c>
      <c r="N36">
        <v>1</v>
      </c>
      <c r="O36">
        <v>3</v>
      </c>
      <c r="P36">
        <v>61</v>
      </c>
      <c r="Q36">
        <v>34</v>
      </c>
      <c r="R36">
        <v>7</v>
      </c>
      <c r="S36">
        <v>8</v>
      </c>
      <c r="T36">
        <v>211</v>
      </c>
      <c r="U36">
        <v>38</v>
      </c>
      <c r="V36">
        <v>22</v>
      </c>
      <c r="W36">
        <v>61</v>
      </c>
    </row>
    <row r="37" spans="1:23" x14ac:dyDescent="0.2">
      <c r="A37" t="s">
        <v>849</v>
      </c>
      <c r="B37" t="s">
        <v>158</v>
      </c>
      <c r="C37" t="s">
        <v>159</v>
      </c>
      <c r="D37" t="s">
        <v>159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159</v>
      </c>
      <c r="K37" t="s">
        <v>159</v>
      </c>
      <c r="L37" t="s">
        <v>159</v>
      </c>
      <c r="M37" t="s">
        <v>159</v>
      </c>
      <c r="N37" t="s">
        <v>159</v>
      </c>
      <c r="O37" t="s">
        <v>159</v>
      </c>
      <c r="P37" t="s">
        <v>159</v>
      </c>
      <c r="Q37" t="s">
        <v>159</v>
      </c>
      <c r="R37" t="s">
        <v>159</v>
      </c>
      <c r="S37" t="s">
        <v>159</v>
      </c>
      <c r="T37" t="s">
        <v>159</v>
      </c>
      <c r="U37" t="s">
        <v>159</v>
      </c>
      <c r="V37" t="s">
        <v>159</v>
      </c>
      <c r="W37" t="s">
        <v>159</v>
      </c>
    </row>
    <row r="38" spans="1:23" x14ac:dyDescent="0.2">
      <c r="A38" t="s">
        <v>850</v>
      </c>
      <c r="B38" t="s">
        <v>158</v>
      </c>
      <c r="C38" t="s">
        <v>159</v>
      </c>
      <c r="D38" t="s">
        <v>159</v>
      </c>
      <c r="E38" t="s">
        <v>159</v>
      </c>
      <c r="F38" t="s">
        <v>159</v>
      </c>
      <c r="G38" t="s">
        <v>159</v>
      </c>
      <c r="H38" t="s">
        <v>159</v>
      </c>
      <c r="I38" t="s">
        <v>159</v>
      </c>
      <c r="J38" t="s">
        <v>159</v>
      </c>
      <c r="K38" t="s">
        <v>159</v>
      </c>
      <c r="L38" t="s">
        <v>159</v>
      </c>
      <c r="M38" t="s">
        <v>159</v>
      </c>
      <c r="N38" t="s">
        <v>159</v>
      </c>
      <c r="O38" t="s">
        <v>159</v>
      </c>
      <c r="P38" t="s">
        <v>159</v>
      </c>
      <c r="Q38" t="s">
        <v>159</v>
      </c>
      <c r="R38" t="s">
        <v>159</v>
      </c>
      <c r="S38" t="s">
        <v>159</v>
      </c>
      <c r="T38" t="s">
        <v>159</v>
      </c>
      <c r="U38" t="s">
        <v>159</v>
      </c>
      <c r="V38" t="s">
        <v>159</v>
      </c>
      <c r="W38" t="s">
        <v>159</v>
      </c>
    </row>
    <row r="39" spans="1:23" x14ac:dyDescent="0.2">
      <c r="A39" t="s">
        <v>851</v>
      </c>
      <c r="B39" t="s">
        <v>157</v>
      </c>
      <c r="C39">
        <v>459.36660528182978</v>
      </c>
      <c r="D39">
        <v>1755</v>
      </c>
      <c r="E39">
        <v>6040</v>
      </c>
      <c r="F39">
        <v>9</v>
      </c>
      <c r="G39">
        <v>8</v>
      </c>
      <c r="H39">
        <v>11.85</v>
      </c>
      <c r="I39">
        <v>1.620253164556962</v>
      </c>
      <c r="J39">
        <v>2.1333333333333329</v>
      </c>
      <c r="K39">
        <v>1.3166666666666671</v>
      </c>
      <c r="L39">
        <v>7.5</v>
      </c>
      <c r="M39">
        <v>332</v>
      </c>
      <c r="N39">
        <v>4</v>
      </c>
      <c r="O39">
        <v>3</v>
      </c>
      <c r="P39">
        <v>79</v>
      </c>
      <c r="Q39">
        <v>60</v>
      </c>
      <c r="R39">
        <v>8</v>
      </c>
      <c r="S39">
        <v>15</v>
      </c>
      <c r="T39">
        <v>772</v>
      </c>
      <c r="U39">
        <v>95</v>
      </c>
      <c r="V39">
        <v>711</v>
      </c>
      <c r="W39">
        <v>128</v>
      </c>
    </row>
    <row r="40" spans="1:23" x14ac:dyDescent="0.2">
      <c r="A40" t="s">
        <v>852</v>
      </c>
      <c r="B40" t="s">
        <v>157</v>
      </c>
      <c r="C40">
        <v>9.7096717357635498</v>
      </c>
      <c r="D40">
        <v>317</v>
      </c>
      <c r="E40">
        <v>321</v>
      </c>
      <c r="F40">
        <v>8</v>
      </c>
      <c r="G40">
        <v>7</v>
      </c>
      <c r="H40">
        <v>0.6470588235294118</v>
      </c>
      <c r="I40">
        <v>1</v>
      </c>
      <c r="J40">
        <v>1.794117647058824</v>
      </c>
      <c r="K40">
        <v>1.794117647058824</v>
      </c>
      <c r="L40">
        <v>4.8571428571428568</v>
      </c>
      <c r="M40">
        <v>6</v>
      </c>
      <c r="N40">
        <v>1</v>
      </c>
      <c r="O40">
        <v>3</v>
      </c>
      <c r="P40">
        <v>61</v>
      </c>
      <c r="Q40">
        <v>34</v>
      </c>
      <c r="R40">
        <v>7</v>
      </c>
      <c r="S40">
        <v>8</v>
      </c>
      <c r="T40">
        <v>211</v>
      </c>
      <c r="U40">
        <v>38</v>
      </c>
      <c r="V40">
        <v>22</v>
      </c>
      <c r="W40">
        <v>61</v>
      </c>
    </row>
    <row r="41" spans="1:23" x14ac:dyDescent="0.2">
      <c r="A41" t="s">
        <v>853</v>
      </c>
      <c r="B41" t="s">
        <v>157</v>
      </c>
      <c r="C41">
        <v>11.025348901748661</v>
      </c>
      <c r="D41">
        <v>275</v>
      </c>
      <c r="E41">
        <v>382</v>
      </c>
      <c r="F41">
        <v>9</v>
      </c>
      <c r="G41">
        <v>8</v>
      </c>
      <c r="H41">
        <v>129.9607843137255</v>
      </c>
      <c r="I41">
        <v>1.0543478260869561</v>
      </c>
      <c r="J41">
        <v>1.9019607843137261</v>
      </c>
      <c r="K41">
        <v>1.803921568627451</v>
      </c>
      <c r="L41">
        <v>6.375</v>
      </c>
      <c r="M41">
        <v>1056</v>
      </c>
      <c r="N41">
        <v>2</v>
      </c>
      <c r="O41">
        <v>3</v>
      </c>
      <c r="P41">
        <v>92</v>
      </c>
      <c r="Q41">
        <v>51</v>
      </c>
      <c r="R41">
        <v>8</v>
      </c>
      <c r="S41">
        <v>10</v>
      </c>
      <c r="T41">
        <v>413</v>
      </c>
      <c r="U41">
        <v>62</v>
      </c>
      <c r="V41">
        <v>6628</v>
      </c>
      <c r="W41">
        <v>97</v>
      </c>
    </row>
    <row r="42" spans="1:23" x14ac:dyDescent="0.2">
      <c r="A42" t="s">
        <v>854</v>
      </c>
      <c r="B42" t="s">
        <v>157</v>
      </c>
      <c r="C42">
        <v>7.3398787975311279</v>
      </c>
      <c r="D42">
        <v>123</v>
      </c>
      <c r="E42">
        <v>661</v>
      </c>
      <c r="F42">
        <v>8</v>
      </c>
      <c r="G42">
        <v>6</v>
      </c>
      <c r="H42">
        <v>0</v>
      </c>
      <c r="I42">
        <v>1.0574712643678159</v>
      </c>
      <c r="J42">
        <v>2.875</v>
      </c>
      <c r="K42">
        <v>2.71875</v>
      </c>
      <c r="L42">
        <v>5.333333333333333</v>
      </c>
      <c r="M42">
        <v>0</v>
      </c>
      <c r="N42">
        <v>6</v>
      </c>
      <c r="O42">
        <v>5</v>
      </c>
      <c r="P42">
        <v>87</v>
      </c>
      <c r="Q42">
        <v>32</v>
      </c>
      <c r="R42">
        <v>6</v>
      </c>
      <c r="S42">
        <v>13</v>
      </c>
      <c r="T42">
        <v>324</v>
      </c>
      <c r="U42">
        <v>57</v>
      </c>
      <c r="V42">
        <v>0</v>
      </c>
      <c r="W42">
        <v>92</v>
      </c>
    </row>
    <row r="43" spans="1:23" x14ac:dyDescent="0.2">
      <c r="A43" t="s">
        <v>855</v>
      </c>
      <c r="B43" t="s">
        <v>157</v>
      </c>
      <c r="C43">
        <v>721.43673396110535</v>
      </c>
      <c r="D43">
        <v>1951</v>
      </c>
      <c r="E43">
        <v>3160</v>
      </c>
      <c r="F43">
        <v>10</v>
      </c>
      <c r="G43">
        <v>9</v>
      </c>
      <c r="H43">
        <v>57884043949446.672</v>
      </c>
      <c r="I43">
        <v>1.028846153846154</v>
      </c>
      <c r="J43">
        <v>2.0776699029126209</v>
      </c>
      <c r="K43">
        <v>2.0194174757281549</v>
      </c>
      <c r="L43">
        <v>11.444444444444439</v>
      </c>
      <c r="M43">
        <v>1212982689600000</v>
      </c>
      <c r="N43">
        <v>2</v>
      </c>
      <c r="O43">
        <v>4</v>
      </c>
      <c r="P43">
        <v>208</v>
      </c>
      <c r="Q43">
        <v>103</v>
      </c>
      <c r="R43">
        <v>9</v>
      </c>
      <c r="S43">
        <v>19</v>
      </c>
      <c r="T43">
        <v>1743</v>
      </c>
      <c r="U43">
        <v>144</v>
      </c>
      <c r="V43">
        <v>5962056526793007</v>
      </c>
      <c r="W43">
        <v>214</v>
      </c>
    </row>
    <row r="44" spans="1:23" x14ac:dyDescent="0.2">
      <c r="A44" t="s">
        <v>856</v>
      </c>
      <c r="B44" t="s">
        <v>157</v>
      </c>
      <c r="C44">
        <v>233.86240553855899</v>
      </c>
      <c r="D44">
        <v>606</v>
      </c>
      <c r="E44">
        <v>3980</v>
      </c>
      <c r="F44">
        <v>7</v>
      </c>
      <c r="G44">
        <v>6</v>
      </c>
      <c r="H44">
        <v>6.25E-2</v>
      </c>
      <c r="I44">
        <v>0.98591549295774639</v>
      </c>
      <c r="J44">
        <v>2.1875</v>
      </c>
      <c r="K44">
        <v>2.21875</v>
      </c>
      <c r="L44">
        <v>5.333333333333333</v>
      </c>
      <c r="M44">
        <v>1</v>
      </c>
      <c r="N44">
        <v>1</v>
      </c>
      <c r="O44">
        <v>4</v>
      </c>
      <c r="P44">
        <v>71</v>
      </c>
      <c r="Q44">
        <v>32</v>
      </c>
      <c r="R44">
        <v>6</v>
      </c>
      <c r="S44">
        <v>6</v>
      </c>
      <c r="T44">
        <v>122</v>
      </c>
      <c r="U44">
        <v>19</v>
      </c>
      <c r="V44">
        <v>2</v>
      </c>
      <c r="W44">
        <v>70</v>
      </c>
    </row>
    <row r="45" spans="1:23" x14ac:dyDescent="0.2">
      <c r="A45" t="s">
        <v>857</v>
      </c>
      <c r="B45" t="s">
        <v>157</v>
      </c>
      <c r="C45">
        <v>9.7451655864715576</v>
      </c>
      <c r="D45">
        <v>275</v>
      </c>
      <c r="E45">
        <v>375</v>
      </c>
      <c r="F45">
        <v>9</v>
      </c>
      <c r="G45">
        <v>8</v>
      </c>
      <c r="H45">
        <v>51.588235294117638</v>
      </c>
      <c r="I45">
        <v>1.0543478260869561</v>
      </c>
      <c r="J45">
        <v>1.9019607843137261</v>
      </c>
      <c r="K45">
        <v>1.803921568627451</v>
      </c>
      <c r="L45">
        <v>6.375</v>
      </c>
      <c r="M45">
        <v>284</v>
      </c>
      <c r="N45">
        <v>2</v>
      </c>
      <c r="O45">
        <v>3</v>
      </c>
      <c r="P45">
        <v>92</v>
      </c>
      <c r="Q45">
        <v>51</v>
      </c>
      <c r="R45">
        <v>8</v>
      </c>
      <c r="S45">
        <v>10</v>
      </c>
      <c r="T45">
        <v>413</v>
      </c>
      <c r="U45">
        <v>62</v>
      </c>
      <c r="V45">
        <v>2631</v>
      </c>
      <c r="W45">
        <v>97</v>
      </c>
    </row>
    <row r="46" spans="1:23" x14ac:dyDescent="0.2">
      <c r="A46" t="s">
        <v>858</v>
      </c>
      <c r="B46" t="s">
        <v>157</v>
      </c>
      <c r="C46">
        <v>591.49497056007385</v>
      </c>
      <c r="D46">
        <v>531</v>
      </c>
      <c r="E46">
        <v>3215</v>
      </c>
      <c r="F46">
        <v>7</v>
      </c>
      <c r="G46">
        <v>6</v>
      </c>
      <c r="H46">
        <v>6.25E-2</v>
      </c>
      <c r="I46">
        <v>0.98591549295774639</v>
      </c>
      <c r="J46">
        <v>2.1875</v>
      </c>
      <c r="K46">
        <v>2.21875</v>
      </c>
      <c r="L46">
        <v>5.333333333333333</v>
      </c>
      <c r="M46">
        <v>1</v>
      </c>
      <c r="N46">
        <v>1</v>
      </c>
      <c r="O46">
        <v>4</v>
      </c>
      <c r="P46">
        <v>71</v>
      </c>
      <c r="Q46">
        <v>32</v>
      </c>
      <c r="R46">
        <v>6</v>
      </c>
      <c r="S46">
        <v>6</v>
      </c>
      <c r="T46">
        <v>122</v>
      </c>
      <c r="U46">
        <v>19</v>
      </c>
      <c r="V46">
        <v>2</v>
      </c>
      <c r="W46">
        <v>70</v>
      </c>
    </row>
    <row r="47" spans="1:23" x14ac:dyDescent="0.2">
      <c r="A47" t="s">
        <v>859</v>
      </c>
      <c r="B47" t="s">
        <v>158</v>
      </c>
      <c r="C47" t="s">
        <v>159</v>
      </c>
      <c r="D47" t="s">
        <v>159</v>
      </c>
      <c r="E47" t="s">
        <v>159</v>
      </c>
      <c r="F47" t="s">
        <v>159</v>
      </c>
      <c r="G47" t="s">
        <v>159</v>
      </c>
      <c r="H47" t="s">
        <v>159</v>
      </c>
      <c r="I47" t="s">
        <v>159</v>
      </c>
      <c r="J47" t="s">
        <v>159</v>
      </c>
      <c r="K47" t="s">
        <v>159</v>
      </c>
      <c r="L47" t="s">
        <v>159</v>
      </c>
      <c r="M47" t="s">
        <v>159</v>
      </c>
      <c r="N47" t="s">
        <v>159</v>
      </c>
      <c r="O47" t="s">
        <v>159</v>
      </c>
      <c r="P47" t="s">
        <v>159</v>
      </c>
      <c r="Q47" t="s">
        <v>159</v>
      </c>
      <c r="R47" t="s">
        <v>159</v>
      </c>
      <c r="S47" t="s">
        <v>159</v>
      </c>
      <c r="T47" t="s">
        <v>159</v>
      </c>
      <c r="U47" t="s">
        <v>159</v>
      </c>
      <c r="V47" t="s">
        <v>159</v>
      </c>
      <c r="W47" t="s">
        <v>159</v>
      </c>
    </row>
    <row r="48" spans="1:23" x14ac:dyDescent="0.2">
      <c r="A48" t="s">
        <v>860</v>
      </c>
      <c r="B48" t="s">
        <v>158</v>
      </c>
      <c r="C48" t="s">
        <v>159</v>
      </c>
      <c r="D48" t="s">
        <v>159</v>
      </c>
      <c r="E48" t="s">
        <v>159</v>
      </c>
      <c r="F48" t="s">
        <v>159</v>
      </c>
      <c r="G48" t="s">
        <v>159</v>
      </c>
      <c r="H48" t="s">
        <v>159</v>
      </c>
      <c r="I48" t="s">
        <v>159</v>
      </c>
      <c r="J48" t="s">
        <v>159</v>
      </c>
      <c r="K48" t="s">
        <v>159</v>
      </c>
      <c r="L48" t="s">
        <v>159</v>
      </c>
      <c r="M48" t="s">
        <v>159</v>
      </c>
      <c r="N48" t="s">
        <v>159</v>
      </c>
      <c r="O48" t="s">
        <v>159</v>
      </c>
      <c r="P48" t="s">
        <v>159</v>
      </c>
      <c r="Q48" t="s">
        <v>159</v>
      </c>
      <c r="R48" t="s">
        <v>159</v>
      </c>
      <c r="S48" t="s">
        <v>159</v>
      </c>
      <c r="T48" t="s">
        <v>159</v>
      </c>
      <c r="U48" t="s">
        <v>159</v>
      </c>
      <c r="V48" t="s">
        <v>159</v>
      </c>
      <c r="W48" t="s">
        <v>159</v>
      </c>
    </row>
    <row r="49" spans="1:23" x14ac:dyDescent="0.2">
      <c r="A49" t="s">
        <v>861</v>
      </c>
      <c r="B49" t="s">
        <v>157</v>
      </c>
      <c r="C49">
        <v>4.4174470901489258</v>
      </c>
      <c r="D49">
        <v>141</v>
      </c>
      <c r="E49">
        <v>898</v>
      </c>
      <c r="F49">
        <v>8</v>
      </c>
      <c r="G49">
        <v>6</v>
      </c>
      <c r="H49">
        <v>0</v>
      </c>
      <c r="I49">
        <v>1.0574712643678159</v>
      </c>
      <c r="J49">
        <v>2.875</v>
      </c>
      <c r="K49">
        <v>2.71875</v>
      </c>
      <c r="L49">
        <v>5.333333333333333</v>
      </c>
      <c r="M49">
        <v>0</v>
      </c>
      <c r="N49">
        <v>6</v>
      </c>
      <c r="O49">
        <v>5</v>
      </c>
      <c r="P49">
        <v>87</v>
      </c>
      <c r="Q49">
        <v>32</v>
      </c>
      <c r="R49">
        <v>6</v>
      </c>
      <c r="S49">
        <v>13</v>
      </c>
      <c r="T49">
        <v>324</v>
      </c>
      <c r="U49">
        <v>57</v>
      </c>
      <c r="V49">
        <v>0</v>
      </c>
      <c r="W49">
        <v>92</v>
      </c>
    </row>
    <row r="50" spans="1:23" x14ac:dyDescent="0.2">
      <c r="A50" t="s">
        <v>862</v>
      </c>
      <c r="B50" t="s">
        <v>158</v>
      </c>
      <c r="C50" t="s">
        <v>159</v>
      </c>
      <c r="D50" t="s">
        <v>159</v>
      </c>
      <c r="E50" t="s">
        <v>159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  <c r="T50" t="s">
        <v>159</v>
      </c>
      <c r="U50" t="s">
        <v>159</v>
      </c>
      <c r="V50" t="s">
        <v>159</v>
      </c>
      <c r="W50" t="s">
        <v>159</v>
      </c>
    </row>
    <row r="51" spans="1:23" x14ac:dyDescent="0.2">
      <c r="A51" t="s">
        <v>863</v>
      </c>
      <c r="B51" t="s">
        <v>157</v>
      </c>
      <c r="C51">
        <v>55.692007303237922</v>
      </c>
      <c r="D51">
        <v>577</v>
      </c>
      <c r="E51">
        <v>5687</v>
      </c>
      <c r="F51">
        <v>7</v>
      </c>
      <c r="G51">
        <v>6</v>
      </c>
      <c r="H51">
        <v>3.125E-2</v>
      </c>
      <c r="I51">
        <v>1</v>
      </c>
      <c r="J51">
        <v>2.5625</v>
      </c>
      <c r="K51">
        <v>2.5625</v>
      </c>
      <c r="L51">
        <v>5.333333333333333</v>
      </c>
      <c r="M51">
        <v>1</v>
      </c>
      <c r="N51">
        <v>1</v>
      </c>
      <c r="O51">
        <v>5</v>
      </c>
      <c r="P51">
        <v>82</v>
      </c>
      <c r="Q51">
        <v>32</v>
      </c>
      <c r="R51">
        <v>6</v>
      </c>
      <c r="S51">
        <v>7</v>
      </c>
      <c r="T51">
        <v>142</v>
      </c>
      <c r="U51">
        <v>23</v>
      </c>
      <c r="V51">
        <v>1</v>
      </c>
      <c r="W51">
        <v>82</v>
      </c>
    </row>
    <row r="52" spans="1:23" x14ac:dyDescent="0.2">
      <c r="A52" t="s">
        <v>864</v>
      </c>
      <c r="B52" t="s">
        <v>157</v>
      </c>
      <c r="C52">
        <v>119.14770483970641</v>
      </c>
      <c r="D52">
        <v>445</v>
      </c>
      <c r="E52">
        <v>2487</v>
      </c>
      <c r="F52">
        <v>7</v>
      </c>
      <c r="G52">
        <v>6</v>
      </c>
      <c r="H52">
        <v>6.25E-2</v>
      </c>
      <c r="I52">
        <v>0.9850746268656716</v>
      </c>
      <c r="J52">
        <v>2.0625</v>
      </c>
      <c r="K52">
        <v>2.09375</v>
      </c>
      <c r="L52">
        <v>5.333333333333333</v>
      </c>
      <c r="M52">
        <v>1</v>
      </c>
      <c r="N52">
        <v>1</v>
      </c>
      <c r="O52">
        <v>4</v>
      </c>
      <c r="P52">
        <v>67</v>
      </c>
      <c r="Q52">
        <v>32</v>
      </c>
      <c r="R52">
        <v>6</v>
      </c>
      <c r="S52">
        <v>6</v>
      </c>
      <c r="T52">
        <v>126</v>
      </c>
      <c r="U52">
        <v>19</v>
      </c>
      <c r="V52">
        <v>2</v>
      </c>
      <c r="W52">
        <v>66</v>
      </c>
    </row>
    <row r="53" spans="1:23" x14ac:dyDescent="0.2">
      <c r="A53" t="s">
        <v>865</v>
      </c>
      <c r="B53" t="s">
        <v>157</v>
      </c>
      <c r="C53">
        <v>193.9032492637634</v>
      </c>
      <c r="D53">
        <v>407</v>
      </c>
      <c r="E53">
        <v>6649</v>
      </c>
      <c r="F53">
        <v>7</v>
      </c>
      <c r="G53">
        <v>6</v>
      </c>
      <c r="H53">
        <v>7.1428571428571425E-2</v>
      </c>
      <c r="I53">
        <v>1.1923076923076921</v>
      </c>
      <c r="J53">
        <v>2.214285714285714</v>
      </c>
      <c r="K53">
        <v>1.857142857142857</v>
      </c>
      <c r="L53">
        <v>4.666666666666667</v>
      </c>
      <c r="M53">
        <v>1</v>
      </c>
      <c r="N53">
        <v>5</v>
      </c>
      <c r="O53">
        <v>4</v>
      </c>
      <c r="P53">
        <v>52</v>
      </c>
      <c r="Q53">
        <v>28</v>
      </c>
      <c r="R53">
        <v>6</v>
      </c>
      <c r="S53">
        <v>11</v>
      </c>
      <c r="T53">
        <v>246</v>
      </c>
      <c r="U53">
        <v>48</v>
      </c>
      <c r="V53">
        <v>2</v>
      </c>
      <c r="W53">
        <v>62</v>
      </c>
    </row>
    <row r="54" spans="1:23" x14ac:dyDescent="0.2">
      <c r="A54" t="s">
        <v>866</v>
      </c>
      <c r="B54" t="s">
        <v>157</v>
      </c>
      <c r="C54">
        <v>235.27148938179019</v>
      </c>
      <c r="D54">
        <v>1012</v>
      </c>
      <c r="E54">
        <v>1374</v>
      </c>
      <c r="F54">
        <v>9</v>
      </c>
      <c r="G54">
        <v>8</v>
      </c>
      <c r="H54">
        <v>0.67441860465116277</v>
      </c>
      <c r="I54">
        <v>1</v>
      </c>
      <c r="J54">
        <v>1.9069767441860459</v>
      </c>
      <c r="K54">
        <v>1.9069767441860459</v>
      </c>
      <c r="L54">
        <v>5.375</v>
      </c>
      <c r="M54">
        <v>7</v>
      </c>
      <c r="N54">
        <v>1</v>
      </c>
      <c r="O54">
        <v>3</v>
      </c>
      <c r="P54">
        <v>82</v>
      </c>
      <c r="Q54">
        <v>43</v>
      </c>
      <c r="R54">
        <v>8</v>
      </c>
      <c r="S54">
        <v>9</v>
      </c>
      <c r="T54">
        <v>305</v>
      </c>
      <c r="U54">
        <v>51</v>
      </c>
      <c r="V54">
        <v>29</v>
      </c>
      <c r="W54">
        <v>82</v>
      </c>
    </row>
    <row r="55" spans="1:23" x14ac:dyDescent="0.2">
      <c r="A55" t="s">
        <v>867</v>
      </c>
      <c r="B55" t="s">
        <v>157</v>
      </c>
      <c r="C55">
        <v>8.8257439136505127</v>
      </c>
      <c r="D55">
        <v>137</v>
      </c>
      <c r="E55">
        <v>758</v>
      </c>
      <c r="F55">
        <v>8</v>
      </c>
      <c r="G55">
        <v>6</v>
      </c>
      <c r="H55">
        <v>0</v>
      </c>
      <c r="I55">
        <v>1.0574712643678159</v>
      </c>
      <c r="J55">
        <v>2.875</v>
      </c>
      <c r="K55">
        <v>2.71875</v>
      </c>
      <c r="L55">
        <v>5.333333333333333</v>
      </c>
      <c r="M55">
        <v>0</v>
      </c>
      <c r="N55">
        <v>6</v>
      </c>
      <c r="O55">
        <v>5</v>
      </c>
      <c r="P55">
        <v>87</v>
      </c>
      <c r="Q55">
        <v>32</v>
      </c>
      <c r="R55">
        <v>6</v>
      </c>
      <c r="S55">
        <v>13</v>
      </c>
      <c r="T55">
        <v>324</v>
      </c>
      <c r="U55">
        <v>57</v>
      </c>
      <c r="V55">
        <v>0</v>
      </c>
      <c r="W55">
        <v>92</v>
      </c>
    </row>
    <row r="56" spans="1:23" x14ac:dyDescent="0.2">
      <c r="A56" t="s">
        <v>868</v>
      </c>
      <c r="B56" t="s">
        <v>157</v>
      </c>
      <c r="C56">
        <v>4.9102907180786133</v>
      </c>
      <c r="D56">
        <v>131</v>
      </c>
      <c r="E56">
        <v>775</v>
      </c>
      <c r="F56">
        <v>8</v>
      </c>
      <c r="G56">
        <v>6</v>
      </c>
      <c r="H56">
        <v>0</v>
      </c>
      <c r="I56">
        <v>1.0574712643678159</v>
      </c>
      <c r="J56">
        <v>2.875</v>
      </c>
      <c r="K56">
        <v>2.71875</v>
      </c>
      <c r="L56">
        <v>5.333333333333333</v>
      </c>
      <c r="M56">
        <v>0</v>
      </c>
      <c r="N56">
        <v>6</v>
      </c>
      <c r="O56">
        <v>5</v>
      </c>
      <c r="P56">
        <v>87</v>
      </c>
      <c r="Q56">
        <v>32</v>
      </c>
      <c r="R56">
        <v>6</v>
      </c>
      <c r="S56">
        <v>13</v>
      </c>
      <c r="T56">
        <v>324</v>
      </c>
      <c r="U56">
        <v>57</v>
      </c>
      <c r="V56">
        <v>0</v>
      </c>
      <c r="W56">
        <v>92</v>
      </c>
    </row>
    <row r="57" spans="1:23" x14ac:dyDescent="0.2">
      <c r="A57" t="s">
        <v>869</v>
      </c>
      <c r="B57" t="s">
        <v>158</v>
      </c>
      <c r="C57" t="s">
        <v>159</v>
      </c>
      <c r="D57" t="s">
        <v>159</v>
      </c>
      <c r="E57" t="s">
        <v>159</v>
      </c>
      <c r="F57" t="s">
        <v>159</v>
      </c>
      <c r="G57" t="s">
        <v>159</v>
      </c>
      <c r="H57" t="s">
        <v>159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</row>
    <row r="58" spans="1:23" x14ac:dyDescent="0.2">
      <c r="A58" t="s">
        <v>870</v>
      </c>
      <c r="B58" t="s">
        <v>157</v>
      </c>
      <c r="C58">
        <v>1350.07448554039</v>
      </c>
      <c r="D58">
        <v>1968</v>
      </c>
      <c r="E58">
        <v>3222</v>
      </c>
      <c r="F58">
        <v>10</v>
      </c>
      <c r="G58">
        <v>9</v>
      </c>
      <c r="H58">
        <v>57884043949446.672</v>
      </c>
      <c r="I58">
        <v>1.028846153846154</v>
      </c>
      <c r="J58">
        <v>2.0776699029126209</v>
      </c>
      <c r="K58">
        <v>2.0194174757281549</v>
      </c>
      <c r="L58">
        <v>11.444444444444439</v>
      </c>
      <c r="M58">
        <v>1212982689600000</v>
      </c>
      <c r="N58">
        <v>2</v>
      </c>
      <c r="O58">
        <v>4</v>
      </c>
      <c r="P58">
        <v>208</v>
      </c>
      <c r="Q58">
        <v>103</v>
      </c>
      <c r="R58">
        <v>9</v>
      </c>
      <c r="S58">
        <v>19</v>
      </c>
      <c r="T58">
        <v>1743</v>
      </c>
      <c r="U58">
        <v>144</v>
      </c>
      <c r="V58">
        <v>5962056526793007</v>
      </c>
      <c r="W58">
        <v>214</v>
      </c>
    </row>
    <row r="59" spans="1:23" x14ac:dyDescent="0.2">
      <c r="A59" t="s">
        <v>871</v>
      </c>
      <c r="B59" t="s">
        <v>157</v>
      </c>
      <c r="C59">
        <v>290.24260258674622</v>
      </c>
      <c r="D59">
        <v>576</v>
      </c>
      <c r="E59">
        <v>3989</v>
      </c>
      <c r="F59">
        <v>7</v>
      </c>
      <c r="G59">
        <v>6</v>
      </c>
      <c r="H59">
        <v>6.25E-2</v>
      </c>
      <c r="I59">
        <v>0.98591549295774639</v>
      </c>
      <c r="J59">
        <v>2.1875</v>
      </c>
      <c r="K59">
        <v>2.21875</v>
      </c>
      <c r="L59">
        <v>5.333333333333333</v>
      </c>
      <c r="M59">
        <v>1</v>
      </c>
      <c r="N59">
        <v>1</v>
      </c>
      <c r="O59">
        <v>4</v>
      </c>
      <c r="P59">
        <v>71</v>
      </c>
      <c r="Q59">
        <v>32</v>
      </c>
      <c r="R59">
        <v>6</v>
      </c>
      <c r="S59">
        <v>6</v>
      </c>
      <c r="T59">
        <v>122</v>
      </c>
      <c r="U59">
        <v>19</v>
      </c>
      <c r="V59">
        <v>2</v>
      </c>
      <c r="W59">
        <v>70</v>
      </c>
    </row>
    <row r="60" spans="1:23" x14ac:dyDescent="0.2">
      <c r="A60" t="s">
        <v>872</v>
      </c>
      <c r="B60" t="s">
        <v>157</v>
      </c>
      <c r="C60">
        <v>1473.9047968387599</v>
      </c>
      <c r="D60">
        <v>2727</v>
      </c>
      <c r="E60">
        <v>4732</v>
      </c>
      <c r="F60">
        <v>10</v>
      </c>
      <c r="G60">
        <v>9</v>
      </c>
      <c r="H60">
        <v>0.69811320754716977</v>
      </c>
      <c r="I60">
        <v>1</v>
      </c>
      <c r="J60">
        <v>2</v>
      </c>
      <c r="K60">
        <v>2</v>
      </c>
      <c r="L60">
        <v>5.8888888888888893</v>
      </c>
      <c r="M60">
        <v>8</v>
      </c>
      <c r="N60">
        <v>1</v>
      </c>
      <c r="O60">
        <v>3</v>
      </c>
      <c r="P60">
        <v>106</v>
      </c>
      <c r="Q60">
        <v>53</v>
      </c>
      <c r="R60">
        <v>9</v>
      </c>
      <c r="S60">
        <v>10</v>
      </c>
      <c r="T60">
        <v>424</v>
      </c>
      <c r="U60">
        <v>66</v>
      </c>
      <c r="V60">
        <v>37</v>
      </c>
      <c r="W60">
        <v>106</v>
      </c>
    </row>
    <row r="61" spans="1:23" x14ac:dyDescent="0.2">
      <c r="A61" t="s">
        <v>873</v>
      </c>
      <c r="B61" t="s">
        <v>157</v>
      </c>
      <c r="C61">
        <v>348.30463671684271</v>
      </c>
      <c r="D61">
        <v>949</v>
      </c>
      <c r="E61">
        <v>11894</v>
      </c>
      <c r="F61">
        <v>7</v>
      </c>
      <c r="G61">
        <v>6</v>
      </c>
      <c r="H61">
        <v>3.125E-2</v>
      </c>
      <c r="I61">
        <v>1</v>
      </c>
      <c r="J61">
        <v>2.6875</v>
      </c>
      <c r="K61">
        <v>2.6875</v>
      </c>
      <c r="L61">
        <v>5.333333333333333</v>
      </c>
      <c r="M61">
        <v>1</v>
      </c>
      <c r="N61">
        <v>1</v>
      </c>
      <c r="O61">
        <v>5</v>
      </c>
      <c r="P61">
        <v>86</v>
      </c>
      <c r="Q61">
        <v>32</v>
      </c>
      <c r="R61">
        <v>6</v>
      </c>
      <c r="S61">
        <v>7</v>
      </c>
      <c r="T61">
        <v>138</v>
      </c>
      <c r="U61">
        <v>23</v>
      </c>
      <c r="V61">
        <v>1</v>
      </c>
      <c r="W61">
        <v>86</v>
      </c>
    </row>
    <row r="62" spans="1:23" x14ac:dyDescent="0.2">
      <c r="A62" t="s">
        <v>874</v>
      </c>
      <c r="B62" t="s">
        <v>157</v>
      </c>
      <c r="C62">
        <v>10.30068755149841</v>
      </c>
      <c r="D62">
        <v>275</v>
      </c>
      <c r="E62">
        <v>380</v>
      </c>
      <c r="F62">
        <v>9</v>
      </c>
      <c r="G62">
        <v>8</v>
      </c>
      <c r="H62">
        <v>130.19607843137251</v>
      </c>
      <c r="I62">
        <v>1.0543478260869561</v>
      </c>
      <c r="J62">
        <v>1.9019607843137261</v>
      </c>
      <c r="K62">
        <v>1.803921568627451</v>
      </c>
      <c r="L62">
        <v>6.375</v>
      </c>
      <c r="M62">
        <v>1056</v>
      </c>
      <c r="N62">
        <v>2</v>
      </c>
      <c r="O62">
        <v>3</v>
      </c>
      <c r="P62">
        <v>92</v>
      </c>
      <c r="Q62">
        <v>51</v>
      </c>
      <c r="R62">
        <v>8</v>
      </c>
      <c r="S62">
        <v>10</v>
      </c>
      <c r="T62">
        <v>413</v>
      </c>
      <c r="U62">
        <v>62</v>
      </c>
      <c r="V62">
        <v>6640</v>
      </c>
      <c r="W62">
        <v>97</v>
      </c>
    </row>
    <row r="63" spans="1:23" x14ac:dyDescent="0.2">
      <c r="A63" t="s">
        <v>875</v>
      </c>
      <c r="B63" t="s">
        <v>157</v>
      </c>
      <c r="C63">
        <v>1275.973076105118</v>
      </c>
      <c r="D63">
        <v>2526</v>
      </c>
      <c r="E63">
        <v>4001</v>
      </c>
      <c r="F63">
        <v>10</v>
      </c>
      <c r="G63">
        <v>9</v>
      </c>
      <c r="H63">
        <v>0.69811320754716977</v>
      </c>
      <c r="I63">
        <v>1</v>
      </c>
      <c r="J63">
        <v>2</v>
      </c>
      <c r="K63">
        <v>2</v>
      </c>
      <c r="L63">
        <v>5.8888888888888893</v>
      </c>
      <c r="M63">
        <v>8</v>
      </c>
      <c r="N63">
        <v>1</v>
      </c>
      <c r="O63">
        <v>3</v>
      </c>
      <c r="P63">
        <v>106</v>
      </c>
      <c r="Q63">
        <v>53</v>
      </c>
      <c r="R63">
        <v>9</v>
      </c>
      <c r="S63">
        <v>10</v>
      </c>
      <c r="T63">
        <v>424</v>
      </c>
      <c r="U63">
        <v>66</v>
      </c>
      <c r="V63">
        <v>37</v>
      </c>
      <c r="W63">
        <v>106</v>
      </c>
    </row>
    <row r="64" spans="1:23" x14ac:dyDescent="0.2">
      <c r="A64" t="s">
        <v>876</v>
      </c>
      <c r="B64" t="s">
        <v>157</v>
      </c>
      <c r="C64">
        <v>16.39405727386475</v>
      </c>
      <c r="D64">
        <v>305</v>
      </c>
      <c r="E64">
        <v>269</v>
      </c>
      <c r="F64">
        <v>8</v>
      </c>
      <c r="G64">
        <v>7</v>
      </c>
      <c r="H64">
        <v>0.6470588235294118</v>
      </c>
      <c r="I64">
        <v>1</v>
      </c>
      <c r="J64">
        <v>1.794117647058824</v>
      </c>
      <c r="K64">
        <v>1.794117647058824</v>
      </c>
      <c r="L64">
        <v>4.8571428571428568</v>
      </c>
      <c r="M64">
        <v>6</v>
      </c>
      <c r="N64">
        <v>1</v>
      </c>
      <c r="O64">
        <v>3</v>
      </c>
      <c r="P64">
        <v>61</v>
      </c>
      <c r="Q64">
        <v>34</v>
      </c>
      <c r="R64">
        <v>7</v>
      </c>
      <c r="S64">
        <v>8</v>
      </c>
      <c r="T64">
        <v>211</v>
      </c>
      <c r="U64">
        <v>38</v>
      </c>
      <c r="V64">
        <v>22</v>
      </c>
      <c r="W64">
        <v>61</v>
      </c>
    </row>
    <row r="65" spans="1:23" x14ac:dyDescent="0.2">
      <c r="A65" t="s">
        <v>877</v>
      </c>
      <c r="B65" t="s">
        <v>157</v>
      </c>
      <c r="C65">
        <v>4.8160293102264404</v>
      </c>
      <c r="D65">
        <v>298</v>
      </c>
      <c r="E65">
        <v>485</v>
      </c>
      <c r="F65">
        <v>7</v>
      </c>
      <c r="G65">
        <v>7</v>
      </c>
      <c r="H65">
        <v>7.0727272727272723</v>
      </c>
      <c r="I65">
        <v>1.6710526315789469</v>
      </c>
      <c r="J65">
        <v>2.3090909090909091</v>
      </c>
      <c r="K65">
        <v>1.3818181818181821</v>
      </c>
      <c r="L65">
        <v>7.8571428571428568</v>
      </c>
      <c r="M65">
        <v>36</v>
      </c>
      <c r="N65">
        <v>4</v>
      </c>
      <c r="O65">
        <v>3</v>
      </c>
      <c r="P65">
        <v>76</v>
      </c>
      <c r="Q65">
        <v>55</v>
      </c>
      <c r="R65">
        <v>7</v>
      </c>
      <c r="S65">
        <v>14</v>
      </c>
      <c r="T65">
        <v>643</v>
      </c>
      <c r="U65">
        <v>74</v>
      </c>
      <c r="V65">
        <v>389</v>
      </c>
      <c r="W65">
        <v>127</v>
      </c>
    </row>
    <row r="66" spans="1:23" x14ac:dyDescent="0.2">
      <c r="A66" t="s">
        <v>878</v>
      </c>
      <c r="B66" t="s">
        <v>157</v>
      </c>
      <c r="C66">
        <v>80.656820058822632</v>
      </c>
      <c r="D66">
        <v>849</v>
      </c>
      <c r="E66">
        <v>1057</v>
      </c>
      <c r="F66">
        <v>9</v>
      </c>
      <c r="G66">
        <v>8</v>
      </c>
      <c r="H66">
        <v>0.67441860465116277</v>
      </c>
      <c r="I66">
        <v>1</v>
      </c>
      <c r="J66">
        <v>1.9069767441860459</v>
      </c>
      <c r="K66">
        <v>1.9069767441860459</v>
      </c>
      <c r="L66">
        <v>5.375</v>
      </c>
      <c r="M66">
        <v>7</v>
      </c>
      <c r="N66">
        <v>1</v>
      </c>
      <c r="O66">
        <v>3</v>
      </c>
      <c r="P66">
        <v>82</v>
      </c>
      <c r="Q66">
        <v>43</v>
      </c>
      <c r="R66">
        <v>8</v>
      </c>
      <c r="S66">
        <v>9</v>
      </c>
      <c r="T66">
        <v>305</v>
      </c>
      <c r="U66">
        <v>51</v>
      </c>
      <c r="V66">
        <v>29</v>
      </c>
      <c r="W66">
        <v>82</v>
      </c>
    </row>
    <row r="67" spans="1:23" x14ac:dyDescent="0.2">
      <c r="A67" t="s">
        <v>879</v>
      </c>
      <c r="B67" t="s">
        <v>157</v>
      </c>
      <c r="C67">
        <v>4177.7846868038177</v>
      </c>
      <c r="D67">
        <v>2633</v>
      </c>
      <c r="E67">
        <v>4830</v>
      </c>
      <c r="F67">
        <v>10</v>
      </c>
      <c r="G67">
        <v>9</v>
      </c>
      <c r="H67">
        <v>0.69811320754716977</v>
      </c>
      <c r="I67">
        <v>1</v>
      </c>
      <c r="J67">
        <v>2</v>
      </c>
      <c r="K67">
        <v>2</v>
      </c>
      <c r="L67">
        <v>5.8888888888888893</v>
      </c>
      <c r="M67">
        <v>8</v>
      </c>
      <c r="N67">
        <v>1</v>
      </c>
      <c r="O67">
        <v>3</v>
      </c>
      <c r="P67">
        <v>106</v>
      </c>
      <c r="Q67">
        <v>53</v>
      </c>
      <c r="R67">
        <v>9</v>
      </c>
      <c r="S67">
        <v>10</v>
      </c>
      <c r="T67">
        <v>424</v>
      </c>
      <c r="U67">
        <v>66</v>
      </c>
      <c r="V67">
        <v>37</v>
      </c>
      <c r="W67">
        <v>106</v>
      </c>
    </row>
    <row r="68" spans="1:23" x14ac:dyDescent="0.2">
      <c r="A68" t="s">
        <v>880</v>
      </c>
      <c r="B68" t="s">
        <v>157</v>
      </c>
      <c r="C68">
        <v>9.4009284973144513</v>
      </c>
      <c r="D68">
        <v>220</v>
      </c>
      <c r="E68">
        <v>2185</v>
      </c>
      <c r="F68">
        <v>8</v>
      </c>
      <c r="G68">
        <v>6</v>
      </c>
      <c r="H68">
        <v>0</v>
      </c>
      <c r="I68">
        <v>1.060240963855422</v>
      </c>
      <c r="J68">
        <v>2.75</v>
      </c>
      <c r="K68">
        <v>2.59375</v>
      </c>
      <c r="L68">
        <v>5.333333333333333</v>
      </c>
      <c r="M68">
        <v>0</v>
      </c>
      <c r="N68">
        <v>6</v>
      </c>
      <c r="O68">
        <v>5</v>
      </c>
      <c r="P68">
        <v>83</v>
      </c>
      <c r="Q68">
        <v>32</v>
      </c>
      <c r="R68">
        <v>6</v>
      </c>
      <c r="S68">
        <v>13</v>
      </c>
      <c r="T68">
        <v>328</v>
      </c>
      <c r="U68">
        <v>57</v>
      </c>
      <c r="V68">
        <v>0</v>
      </c>
      <c r="W68">
        <v>88</v>
      </c>
    </row>
    <row r="69" spans="1:23" x14ac:dyDescent="0.2">
      <c r="A69" t="s">
        <v>881</v>
      </c>
      <c r="B69" t="s">
        <v>157</v>
      </c>
      <c r="C69">
        <v>1079.5673983097081</v>
      </c>
      <c r="D69">
        <v>2059</v>
      </c>
      <c r="E69">
        <v>3267</v>
      </c>
      <c r="F69">
        <v>10</v>
      </c>
      <c r="G69">
        <v>9</v>
      </c>
      <c r="H69">
        <v>57884043949446.672</v>
      </c>
      <c r="I69">
        <v>1.028846153846154</v>
      </c>
      <c r="J69">
        <v>2.0776699029126209</v>
      </c>
      <c r="K69">
        <v>2.0194174757281549</v>
      </c>
      <c r="L69">
        <v>11.444444444444439</v>
      </c>
      <c r="M69">
        <v>1212982689600000</v>
      </c>
      <c r="N69">
        <v>2</v>
      </c>
      <c r="O69">
        <v>4</v>
      </c>
      <c r="P69">
        <v>208</v>
      </c>
      <c r="Q69">
        <v>103</v>
      </c>
      <c r="R69">
        <v>9</v>
      </c>
      <c r="S69">
        <v>19</v>
      </c>
      <c r="T69">
        <v>1743</v>
      </c>
      <c r="U69">
        <v>144</v>
      </c>
      <c r="V69">
        <v>5962056526793007</v>
      </c>
      <c r="W69">
        <v>214</v>
      </c>
    </row>
    <row r="70" spans="1:23" x14ac:dyDescent="0.2">
      <c r="A70" t="s">
        <v>882</v>
      </c>
      <c r="B70" t="s">
        <v>157</v>
      </c>
      <c r="C70">
        <v>126.451003074646</v>
      </c>
      <c r="D70">
        <v>982</v>
      </c>
      <c r="E70">
        <v>18579</v>
      </c>
      <c r="F70">
        <v>7</v>
      </c>
      <c r="G70">
        <v>6</v>
      </c>
      <c r="H70">
        <v>3.125E-2</v>
      </c>
      <c r="I70">
        <v>1</v>
      </c>
      <c r="J70">
        <v>2.6875</v>
      </c>
      <c r="K70">
        <v>2.6875</v>
      </c>
      <c r="L70">
        <v>5.333333333333333</v>
      </c>
      <c r="M70">
        <v>1</v>
      </c>
      <c r="N70">
        <v>1</v>
      </c>
      <c r="O70">
        <v>5</v>
      </c>
      <c r="P70">
        <v>86</v>
      </c>
      <c r="Q70">
        <v>32</v>
      </c>
      <c r="R70">
        <v>6</v>
      </c>
      <c r="S70">
        <v>7</v>
      </c>
      <c r="T70">
        <v>138</v>
      </c>
      <c r="U70">
        <v>23</v>
      </c>
      <c r="V70">
        <v>1</v>
      </c>
      <c r="W70">
        <v>86</v>
      </c>
    </row>
    <row r="71" spans="1:23" x14ac:dyDescent="0.2">
      <c r="A71" t="s">
        <v>883</v>
      </c>
      <c r="B71" t="s">
        <v>157</v>
      </c>
      <c r="C71">
        <v>9.9139790534973145</v>
      </c>
      <c r="D71">
        <v>315</v>
      </c>
      <c r="E71">
        <v>318</v>
      </c>
      <c r="F71">
        <v>8</v>
      </c>
      <c r="G71">
        <v>7</v>
      </c>
      <c r="H71">
        <v>0.6470588235294118</v>
      </c>
      <c r="I71">
        <v>1</v>
      </c>
      <c r="J71">
        <v>1.794117647058824</v>
      </c>
      <c r="K71">
        <v>1.794117647058824</v>
      </c>
      <c r="L71">
        <v>4.8571428571428568</v>
      </c>
      <c r="M71">
        <v>6</v>
      </c>
      <c r="N71">
        <v>1</v>
      </c>
      <c r="O71">
        <v>3</v>
      </c>
      <c r="P71">
        <v>61</v>
      </c>
      <c r="Q71">
        <v>34</v>
      </c>
      <c r="R71">
        <v>7</v>
      </c>
      <c r="S71">
        <v>8</v>
      </c>
      <c r="T71">
        <v>211</v>
      </c>
      <c r="U71">
        <v>38</v>
      </c>
      <c r="V71">
        <v>22</v>
      </c>
      <c r="W71">
        <v>61</v>
      </c>
    </row>
    <row r="72" spans="1:23" x14ac:dyDescent="0.2">
      <c r="A72" t="s">
        <v>884</v>
      </c>
      <c r="B72" t="s">
        <v>157</v>
      </c>
      <c r="C72">
        <v>4.9378836154937744</v>
      </c>
      <c r="D72">
        <v>278</v>
      </c>
      <c r="E72">
        <v>226</v>
      </c>
      <c r="F72">
        <v>8</v>
      </c>
      <c r="G72">
        <v>7</v>
      </c>
      <c r="H72">
        <v>0.6470588235294118</v>
      </c>
      <c r="I72">
        <v>1</v>
      </c>
      <c r="J72">
        <v>1.794117647058824</v>
      </c>
      <c r="K72">
        <v>1.794117647058824</v>
      </c>
      <c r="L72">
        <v>4.8571428571428568</v>
      </c>
      <c r="M72">
        <v>6</v>
      </c>
      <c r="N72">
        <v>1</v>
      </c>
      <c r="O72">
        <v>3</v>
      </c>
      <c r="P72">
        <v>61</v>
      </c>
      <c r="Q72">
        <v>34</v>
      </c>
      <c r="R72">
        <v>7</v>
      </c>
      <c r="S72">
        <v>8</v>
      </c>
      <c r="T72">
        <v>211</v>
      </c>
      <c r="U72">
        <v>38</v>
      </c>
      <c r="V72">
        <v>22</v>
      </c>
      <c r="W72">
        <v>61</v>
      </c>
    </row>
    <row r="73" spans="1:23" x14ac:dyDescent="0.2">
      <c r="A73" t="s">
        <v>885</v>
      </c>
      <c r="B73" t="s">
        <v>158</v>
      </c>
      <c r="C73" t="s">
        <v>159</v>
      </c>
      <c r="D73" t="s">
        <v>159</v>
      </c>
      <c r="E73" t="s">
        <v>159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 t="s">
        <v>159</v>
      </c>
      <c r="T73" t="s">
        <v>159</v>
      </c>
      <c r="U73" t="s">
        <v>159</v>
      </c>
      <c r="V73" t="s">
        <v>159</v>
      </c>
      <c r="W73" t="s">
        <v>159</v>
      </c>
    </row>
    <row r="74" spans="1:23" x14ac:dyDescent="0.2">
      <c r="A74" t="s">
        <v>886</v>
      </c>
      <c r="B74" t="s">
        <v>157</v>
      </c>
      <c r="C74">
        <v>10.91728687286377</v>
      </c>
      <c r="D74">
        <v>275</v>
      </c>
      <c r="E74">
        <v>379</v>
      </c>
      <c r="F74">
        <v>9</v>
      </c>
      <c r="G74">
        <v>8</v>
      </c>
      <c r="H74">
        <v>51.529411764705891</v>
      </c>
      <c r="I74">
        <v>1.0543478260869561</v>
      </c>
      <c r="J74">
        <v>1.9019607843137261</v>
      </c>
      <c r="K74">
        <v>1.803921568627451</v>
      </c>
      <c r="L74">
        <v>6.375</v>
      </c>
      <c r="M74">
        <v>284</v>
      </c>
      <c r="N74">
        <v>2</v>
      </c>
      <c r="O74">
        <v>3</v>
      </c>
      <c r="P74">
        <v>92</v>
      </c>
      <c r="Q74">
        <v>51</v>
      </c>
      <c r="R74">
        <v>8</v>
      </c>
      <c r="S74">
        <v>10</v>
      </c>
      <c r="T74">
        <v>413</v>
      </c>
      <c r="U74">
        <v>62</v>
      </c>
      <c r="V74">
        <v>2628</v>
      </c>
      <c r="W74">
        <v>97</v>
      </c>
    </row>
    <row r="75" spans="1:23" x14ac:dyDescent="0.2">
      <c r="A75" t="s">
        <v>887</v>
      </c>
      <c r="B75" t="s">
        <v>157</v>
      </c>
      <c r="C75">
        <v>186.8236286640167</v>
      </c>
      <c r="D75">
        <v>968</v>
      </c>
      <c r="E75">
        <v>13267</v>
      </c>
      <c r="F75">
        <v>7</v>
      </c>
      <c r="G75">
        <v>6</v>
      </c>
      <c r="H75">
        <v>3.125E-2</v>
      </c>
      <c r="I75">
        <v>1</v>
      </c>
      <c r="J75">
        <v>2.6875</v>
      </c>
      <c r="K75">
        <v>2.6875</v>
      </c>
      <c r="L75">
        <v>5.333333333333333</v>
      </c>
      <c r="M75">
        <v>1</v>
      </c>
      <c r="N75">
        <v>1</v>
      </c>
      <c r="O75">
        <v>5</v>
      </c>
      <c r="P75">
        <v>86</v>
      </c>
      <c r="Q75">
        <v>32</v>
      </c>
      <c r="R75">
        <v>6</v>
      </c>
      <c r="S75">
        <v>7</v>
      </c>
      <c r="T75">
        <v>138</v>
      </c>
      <c r="U75">
        <v>23</v>
      </c>
      <c r="V75">
        <v>1</v>
      </c>
      <c r="W75">
        <v>86</v>
      </c>
    </row>
    <row r="76" spans="1:23" x14ac:dyDescent="0.2">
      <c r="A76" t="s">
        <v>888</v>
      </c>
      <c r="B76" t="s">
        <v>157</v>
      </c>
      <c r="C76">
        <v>11.97667217254639</v>
      </c>
      <c r="D76">
        <v>275</v>
      </c>
      <c r="E76">
        <v>377</v>
      </c>
      <c r="F76">
        <v>9</v>
      </c>
      <c r="G76">
        <v>8</v>
      </c>
      <c r="H76">
        <v>129.7647058823529</v>
      </c>
      <c r="I76">
        <v>1.0543478260869561</v>
      </c>
      <c r="J76">
        <v>1.9019607843137261</v>
      </c>
      <c r="K76">
        <v>1.803921568627451</v>
      </c>
      <c r="L76">
        <v>6.375</v>
      </c>
      <c r="M76">
        <v>1056</v>
      </c>
      <c r="N76">
        <v>2</v>
      </c>
      <c r="O76">
        <v>3</v>
      </c>
      <c r="P76">
        <v>92</v>
      </c>
      <c r="Q76">
        <v>51</v>
      </c>
      <c r="R76">
        <v>8</v>
      </c>
      <c r="S76">
        <v>10</v>
      </c>
      <c r="T76">
        <v>413</v>
      </c>
      <c r="U76">
        <v>63</v>
      </c>
      <c r="V76">
        <v>6618</v>
      </c>
      <c r="W76">
        <v>97</v>
      </c>
    </row>
    <row r="77" spans="1:23" x14ac:dyDescent="0.2">
      <c r="A77" t="s">
        <v>889</v>
      </c>
      <c r="B77" t="s">
        <v>158</v>
      </c>
      <c r="C77" t="s">
        <v>159</v>
      </c>
      <c r="D77" t="s">
        <v>159</v>
      </c>
      <c r="E77" t="s">
        <v>159</v>
      </c>
      <c r="F77" t="s">
        <v>159</v>
      </c>
      <c r="G77" t="s">
        <v>159</v>
      </c>
      <c r="H77" t="s">
        <v>159</v>
      </c>
      <c r="I77" t="s">
        <v>159</v>
      </c>
      <c r="J77" t="s">
        <v>159</v>
      </c>
      <c r="K77" t="s">
        <v>159</v>
      </c>
      <c r="L77" t="s">
        <v>159</v>
      </c>
      <c r="M77" t="s">
        <v>159</v>
      </c>
      <c r="N77" t="s">
        <v>159</v>
      </c>
      <c r="O77" t="s">
        <v>159</v>
      </c>
      <c r="P77" t="s">
        <v>159</v>
      </c>
      <c r="Q77" t="s">
        <v>159</v>
      </c>
      <c r="R77" t="s">
        <v>159</v>
      </c>
      <c r="S77" t="s">
        <v>159</v>
      </c>
      <c r="T77" t="s">
        <v>159</v>
      </c>
      <c r="U77" t="s">
        <v>159</v>
      </c>
      <c r="V77" t="s">
        <v>159</v>
      </c>
      <c r="W77" t="s">
        <v>159</v>
      </c>
    </row>
    <row r="78" spans="1:23" x14ac:dyDescent="0.2">
      <c r="A78" t="s">
        <v>890</v>
      </c>
      <c r="B78" t="s">
        <v>158</v>
      </c>
      <c r="C78" t="s">
        <v>159</v>
      </c>
      <c r="D78" t="s">
        <v>159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  <c r="K78" t="s">
        <v>159</v>
      </c>
      <c r="L78" t="s">
        <v>159</v>
      </c>
      <c r="M78" t="s">
        <v>159</v>
      </c>
      <c r="N78" t="s">
        <v>159</v>
      </c>
      <c r="O78" t="s">
        <v>159</v>
      </c>
      <c r="P78" t="s">
        <v>159</v>
      </c>
      <c r="Q78" t="s">
        <v>159</v>
      </c>
      <c r="R78" t="s">
        <v>159</v>
      </c>
      <c r="S78" t="s">
        <v>159</v>
      </c>
      <c r="T78" t="s">
        <v>159</v>
      </c>
      <c r="U78" t="s">
        <v>159</v>
      </c>
      <c r="V78" t="s">
        <v>159</v>
      </c>
      <c r="W78" t="s">
        <v>159</v>
      </c>
    </row>
    <row r="79" spans="1:23" x14ac:dyDescent="0.2">
      <c r="A79" t="s">
        <v>891</v>
      </c>
      <c r="B79" t="s">
        <v>158</v>
      </c>
      <c r="C79" t="s">
        <v>159</v>
      </c>
      <c r="D79" t="s">
        <v>159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 t="s">
        <v>159</v>
      </c>
      <c r="N79" t="s">
        <v>159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</row>
    <row r="80" spans="1:23" x14ac:dyDescent="0.2">
      <c r="A80" t="s">
        <v>892</v>
      </c>
      <c r="B80" t="s">
        <v>157</v>
      </c>
      <c r="C80">
        <v>1100.2884361743929</v>
      </c>
      <c r="D80">
        <v>2076</v>
      </c>
      <c r="E80">
        <v>3314</v>
      </c>
      <c r="F80">
        <v>10</v>
      </c>
      <c r="G80">
        <v>9</v>
      </c>
      <c r="H80">
        <v>57884043949446.672</v>
      </c>
      <c r="I80">
        <v>1.028846153846154</v>
      </c>
      <c r="J80">
        <v>2.0776699029126209</v>
      </c>
      <c r="K80">
        <v>2.0194174757281549</v>
      </c>
      <c r="L80">
        <v>11.444444444444439</v>
      </c>
      <c r="M80">
        <v>1212982689600000</v>
      </c>
      <c r="N80">
        <v>2</v>
      </c>
      <c r="O80">
        <v>4</v>
      </c>
      <c r="P80">
        <v>208</v>
      </c>
      <c r="Q80">
        <v>103</v>
      </c>
      <c r="R80">
        <v>9</v>
      </c>
      <c r="S80">
        <v>19</v>
      </c>
      <c r="T80">
        <v>1743</v>
      </c>
      <c r="U80">
        <v>144</v>
      </c>
      <c r="V80">
        <v>5962056526793007</v>
      </c>
      <c r="W80">
        <v>214</v>
      </c>
    </row>
    <row r="81" spans="1:23" x14ac:dyDescent="0.2">
      <c r="A81" t="s">
        <v>893</v>
      </c>
      <c r="B81" t="s">
        <v>157</v>
      </c>
      <c r="C81">
        <v>4.3901619911193848</v>
      </c>
      <c r="D81">
        <v>152</v>
      </c>
      <c r="E81">
        <v>1060</v>
      </c>
      <c r="F81">
        <v>8</v>
      </c>
      <c r="G81">
        <v>6</v>
      </c>
      <c r="H81">
        <v>0</v>
      </c>
      <c r="I81">
        <v>1.060240963855422</v>
      </c>
      <c r="J81">
        <v>2.75</v>
      </c>
      <c r="K81">
        <v>2.59375</v>
      </c>
      <c r="L81">
        <v>5.333333333333333</v>
      </c>
      <c r="M81">
        <v>0</v>
      </c>
      <c r="N81">
        <v>6</v>
      </c>
      <c r="O81">
        <v>5</v>
      </c>
      <c r="P81">
        <v>83</v>
      </c>
      <c r="Q81">
        <v>32</v>
      </c>
      <c r="R81">
        <v>6</v>
      </c>
      <c r="S81">
        <v>13</v>
      </c>
      <c r="T81">
        <v>328</v>
      </c>
      <c r="U81">
        <v>57</v>
      </c>
      <c r="V81">
        <v>0</v>
      </c>
      <c r="W81">
        <v>88</v>
      </c>
    </row>
    <row r="82" spans="1:23" x14ac:dyDescent="0.2">
      <c r="A82" t="s">
        <v>894</v>
      </c>
      <c r="B82" t="s">
        <v>158</v>
      </c>
      <c r="C82" t="s">
        <v>159</v>
      </c>
      <c r="D82" t="s">
        <v>159</v>
      </c>
      <c r="E82" t="s">
        <v>159</v>
      </c>
      <c r="F82" t="s">
        <v>159</v>
      </c>
      <c r="G82" t="s">
        <v>159</v>
      </c>
      <c r="H82" t="s">
        <v>159</v>
      </c>
      <c r="I82" t="s">
        <v>159</v>
      </c>
      <c r="J82" t="s">
        <v>159</v>
      </c>
      <c r="K82" t="s">
        <v>159</v>
      </c>
      <c r="L82" t="s">
        <v>159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  <c r="V82" t="s">
        <v>159</v>
      </c>
      <c r="W82" t="s">
        <v>159</v>
      </c>
    </row>
    <row r="83" spans="1:23" x14ac:dyDescent="0.2">
      <c r="A83" t="s">
        <v>895</v>
      </c>
      <c r="B83" t="s">
        <v>157</v>
      </c>
      <c r="C83">
        <v>4362.4005081653586</v>
      </c>
      <c r="D83">
        <v>131</v>
      </c>
      <c r="E83">
        <v>21664</v>
      </c>
      <c r="F83">
        <v>7</v>
      </c>
      <c r="G83">
        <v>4</v>
      </c>
      <c r="H83">
        <v>7</v>
      </c>
      <c r="I83">
        <v>1.1558441558441559</v>
      </c>
      <c r="J83">
        <v>3.708333333333333</v>
      </c>
      <c r="K83">
        <v>3.208333333333333</v>
      </c>
      <c r="L83">
        <v>24</v>
      </c>
      <c r="M83">
        <v>24</v>
      </c>
      <c r="N83">
        <v>2</v>
      </c>
      <c r="O83">
        <v>5</v>
      </c>
      <c r="P83">
        <v>308</v>
      </c>
      <c r="Q83">
        <v>96</v>
      </c>
      <c r="R83">
        <v>4</v>
      </c>
      <c r="S83">
        <v>11</v>
      </c>
      <c r="T83">
        <v>700</v>
      </c>
      <c r="U83">
        <v>20</v>
      </c>
      <c r="V83">
        <v>672</v>
      </c>
      <c r="W83">
        <v>356</v>
      </c>
    </row>
    <row r="84" spans="1:23" x14ac:dyDescent="0.2">
      <c r="A84" t="s">
        <v>896</v>
      </c>
      <c r="B84" t="s">
        <v>157</v>
      </c>
      <c r="C84">
        <v>1406.9093630313871</v>
      </c>
      <c r="D84">
        <v>2518</v>
      </c>
      <c r="E84">
        <v>3705</v>
      </c>
      <c r="F84">
        <v>10</v>
      </c>
      <c r="G84">
        <v>9</v>
      </c>
      <c r="H84">
        <v>0.69811320754716977</v>
      </c>
      <c r="I84">
        <v>1</v>
      </c>
      <c r="J84">
        <v>2</v>
      </c>
      <c r="K84">
        <v>2</v>
      </c>
      <c r="L84">
        <v>5.8888888888888893</v>
      </c>
      <c r="M84">
        <v>8</v>
      </c>
      <c r="N84">
        <v>1</v>
      </c>
      <c r="O84">
        <v>3</v>
      </c>
      <c r="P84">
        <v>106</v>
      </c>
      <c r="Q84">
        <v>53</v>
      </c>
      <c r="R84">
        <v>9</v>
      </c>
      <c r="S84">
        <v>10</v>
      </c>
      <c r="T84">
        <v>424</v>
      </c>
      <c r="U84">
        <v>66</v>
      </c>
      <c r="V84">
        <v>37</v>
      </c>
      <c r="W84">
        <v>106</v>
      </c>
    </row>
    <row r="85" spans="1:23" x14ac:dyDescent="0.2">
      <c r="A85" t="s">
        <v>897</v>
      </c>
      <c r="B85" t="s">
        <v>157</v>
      </c>
      <c r="C85">
        <v>22.647854804992679</v>
      </c>
      <c r="D85">
        <v>423</v>
      </c>
      <c r="E85">
        <v>2999</v>
      </c>
      <c r="F85">
        <v>7</v>
      </c>
      <c r="G85">
        <v>6</v>
      </c>
      <c r="H85">
        <v>3.125E-2</v>
      </c>
      <c r="I85">
        <v>1</v>
      </c>
      <c r="J85">
        <v>2.5625</v>
      </c>
      <c r="K85">
        <v>2.5625</v>
      </c>
      <c r="L85">
        <v>5.333333333333333</v>
      </c>
      <c r="M85">
        <v>1</v>
      </c>
      <c r="N85">
        <v>1</v>
      </c>
      <c r="O85">
        <v>5</v>
      </c>
      <c r="P85">
        <v>82</v>
      </c>
      <c r="Q85">
        <v>32</v>
      </c>
      <c r="R85">
        <v>6</v>
      </c>
      <c r="S85">
        <v>7</v>
      </c>
      <c r="T85">
        <v>142</v>
      </c>
      <c r="U85">
        <v>23</v>
      </c>
      <c r="V85">
        <v>1</v>
      </c>
      <c r="W85">
        <v>82</v>
      </c>
    </row>
    <row r="86" spans="1:23" x14ac:dyDescent="0.2">
      <c r="A86" t="s">
        <v>898</v>
      </c>
      <c r="B86" t="s">
        <v>157</v>
      </c>
      <c r="C86">
        <v>10.94774007797241</v>
      </c>
      <c r="D86">
        <v>275</v>
      </c>
      <c r="E86">
        <v>381</v>
      </c>
      <c r="F86">
        <v>9</v>
      </c>
      <c r="G86">
        <v>8</v>
      </c>
      <c r="H86">
        <v>130.01960784313729</v>
      </c>
      <c r="I86">
        <v>1.0543478260869561</v>
      </c>
      <c r="J86">
        <v>1.9019607843137261</v>
      </c>
      <c r="K86">
        <v>1.803921568627451</v>
      </c>
      <c r="L86">
        <v>6.375</v>
      </c>
      <c r="M86">
        <v>1056</v>
      </c>
      <c r="N86">
        <v>2</v>
      </c>
      <c r="O86">
        <v>3</v>
      </c>
      <c r="P86">
        <v>92</v>
      </c>
      <c r="Q86">
        <v>51</v>
      </c>
      <c r="R86">
        <v>8</v>
      </c>
      <c r="S86">
        <v>10</v>
      </c>
      <c r="T86">
        <v>413</v>
      </c>
      <c r="U86">
        <v>62</v>
      </c>
      <c r="V86">
        <v>6631</v>
      </c>
      <c r="W86">
        <v>97</v>
      </c>
    </row>
    <row r="87" spans="1:23" x14ac:dyDescent="0.2">
      <c r="A87" t="s">
        <v>899</v>
      </c>
      <c r="B87" t="s">
        <v>158</v>
      </c>
      <c r="C87" t="s">
        <v>159</v>
      </c>
      <c r="D87" t="s">
        <v>159</v>
      </c>
      <c r="E87" t="s">
        <v>159</v>
      </c>
      <c r="F87" t="s">
        <v>159</v>
      </c>
      <c r="G87" t="s">
        <v>159</v>
      </c>
      <c r="H87" t="s">
        <v>159</v>
      </c>
      <c r="I87" t="s">
        <v>159</v>
      </c>
      <c r="J87" t="s">
        <v>159</v>
      </c>
      <c r="K87" t="s">
        <v>159</v>
      </c>
      <c r="L87" t="s">
        <v>159</v>
      </c>
      <c r="M87" t="s">
        <v>159</v>
      </c>
      <c r="N87" t="s">
        <v>159</v>
      </c>
      <c r="O87" t="s">
        <v>159</v>
      </c>
      <c r="P87" t="s">
        <v>159</v>
      </c>
      <c r="Q87" t="s">
        <v>159</v>
      </c>
      <c r="R87" t="s">
        <v>159</v>
      </c>
      <c r="S87" t="s">
        <v>159</v>
      </c>
      <c r="T87" t="s">
        <v>159</v>
      </c>
      <c r="U87" t="s">
        <v>159</v>
      </c>
      <c r="V87" t="s">
        <v>159</v>
      </c>
      <c r="W87" t="s">
        <v>159</v>
      </c>
    </row>
    <row r="88" spans="1:23" x14ac:dyDescent="0.2">
      <c r="A88" t="s">
        <v>900</v>
      </c>
      <c r="B88" t="s">
        <v>157</v>
      </c>
      <c r="C88">
        <v>1634.7415745258329</v>
      </c>
      <c r="D88">
        <v>768</v>
      </c>
      <c r="E88">
        <v>11162</v>
      </c>
      <c r="F88">
        <v>7</v>
      </c>
      <c r="G88">
        <v>6</v>
      </c>
      <c r="H88">
        <v>7.1428571428571425E-2</v>
      </c>
      <c r="I88">
        <v>1.1851851851851849</v>
      </c>
      <c r="J88">
        <v>2.285714285714286</v>
      </c>
      <c r="K88">
        <v>1.928571428571429</v>
      </c>
      <c r="L88">
        <v>4.666666666666667</v>
      </c>
      <c r="M88">
        <v>1</v>
      </c>
      <c r="N88">
        <v>5</v>
      </c>
      <c r="O88">
        <v>4</v>
      </c>
      <c r="P88">
        <v>54</v>
      </c>
      <c r="Q88">
        <v>28</v>
      </c>
      <c r="R88">
        <v>6</v>
      </c>
      <c r="S88">
        <v>11</v>
      </c>
      <c r="T88">
        <v>244</v>
      </c>
      <c r="U88">
        <v>48</v>
      </c>
      <c r="V88">
        <v>2</v>
      </c>
      <c r="W88">
        <v>64</v>
      </c>
    </row>
    <row r="89" spans="1:23" x14ac:dyDescent="0.2">
      <c r="A89" t="s">
        <v>901</v>
      </c>
      <c r="B89" t="s">
        <v>157</v>
      </c>
      <c r="C89">
        <v>98.201733589172363</v>
      </c>
      <c r="D89">
        <v>465</v>
      </c>
      <c r="E89">
        <v>5084</v>
      </c>
      <c r="F89">
        <v>7</v>
      </c>
      <c r="G89">
        <v>6</v>
      </c>
      <c r="H89">
        <v>7.1428571428571425E-2</v>
      </c>
      <c r="I89">
        <v>1.1923076923076921</v>
      </c>
      <c r="J89">
        <v>2.214285714285714</v>
      </c>
      <c r="K89">
        <v>1.857142857142857</v>
      </c>
      <c r="L89">
        <v>4.666666666666667</v>
      </c>
      <c r="M89">
        <v>1</v>
      </c>
      <c r="N89">
        <v>5</v>
      </c>
      <c r="O89">
        <v>4</v>
      </c>
      <c r="P89">
        <v>52</v>
      </c>
      <c r="Q89">
        <v>28</v>
      </c>
      <c r="R89">
        <v>6</v>
      </c>
      <c r="S89">
        <v>11</v>
      </c>
      <c r="T89">
        <v>246</v>
      </c>
      <c r="U89">
        <v>48</v>
      </c>
      <c r="V89">
        <v>2</v>
      </c>
      <c r="W89">
        <v>62</v>
      </c>
    </row>
    <row r="90" spans="1:23" x14ac:dyDescent="0.2">
      <c r="A90" t="s">
        <v>902</v>
      </c>
      <c r="B90" t="s">
        <v>157</v>
      </c>
      <c r="C90">
        <v>175.48202347755429</v>
      </c>
      <c r="D90">
        <v>368</v>
      </c>
      <c r="E90">
        <v>3498</v>
      </c>
      <c r="F90">
        <v>7</v>
      </c>
      <c r="G90">
        <v>6</v>
      </c>
      <c r="H90">
        <v>7.1428571428571425E-2</v>
      </c>
      <c r="I90">
        <v>1.1923076923076921</v>
      </c>
      <c r="J90">
        <v>2.214285714285714</v>
      </c>
      <c r="K90">
        <v>1.857142857142857</v>
      </c>
      <c r="L90">
        <v>4.666666666666667</v>
      </c>
      <c r="M90">
        <v>1</v>
      </c>
      <c r="N90">
        <v>5</v>
      </c>
      <c r="O90">
        <v>4</v>
      </c>
      <c r="P90">
        <v>52</v>
      </c>
      <c r="Q90">
        <v>28</v>
      </c>
      <c r="R90">
        <v>6</v>
      </c>
      <c r="S90">
        <v>11</v>
      </c>
      <c r="T90">
        <v>246</v>
      </c>
      <c r="U90">
        <v>48</v>
      </c>
      <c r="V90">
        <v>2</v>
      </c>
      <c r="W90">
        <v>62</v>
      </c>
    </row>
    <row r="91" spans="1:23" x14ac:dyDescent="0.2">
      <c r="A91" t="s">
        <v>903</v>
      </c>
      <c r="B91" t="s">
        <v>157</v>
      </c>
      <c r="C91">
        <v>11.314648866653441</v>
      </c>
      <c r="D91">
        <v>275</v>
      </c>
      <c r="E91">
        <v>380</v>
      </c>
      <c r="F91">
        <v>9</v>
      </c>
      <c r="G91">
        <v>8</v>
      </c>
      <c r="H91">
        <v>51.490196078431367</v>
      </c>
      <c r="I91">
        <v>1.0543478260869561</v>
      </c>
      <c r="J91">
        <v>1.9019607843137261</v>
      </c>
      <c r="K91">
        <v>1.803921568627451</v>
      </c>
      <c r="L91">
        <v>6.375</v>
      </c>
      <c r="M91">
        <v>284</v>
      </c>
      <c r="N91">
        <v>2</v>
      </c>
      <c r="O91">
        <v>3</v>
      </c>
      <c r="P91">
        <v>92</v>
      </c>
      <c r="Q91">
        <v>51</v>
      </c>
      <c r="R91">
        <v>8</v>
      </c>
      <c r="S91">
        <v>10</v>
      </c>
      <c r="T91">
        <v>413</v>
      </c>
      <c r="U91">
        <v>63</v>
      </c>
      <c r="V91">
        <v>2626</v>
      </c>
      <c r="W91">
        <v>97</v>
      </c>
    </row>
    <row r="92" spans="1:23" x14ac:dyDescent="0.2">
      <c r="A92" t="s">
        <v>904</v>
      </c>
      <c r="B92" t="s">
        <v>157</v>
      </c>
      <c r="C92">
        <v>208.29559063911441</v>
      </c>
      <c r="D92">
        <v>1001</v>
      </c>
      <c r="E92">
        <v>19424</v>
      </c>
      <c r="F92">
        <v>7</v>
      </c>
      <c r="G92">
        <v>6</v>
      </c>
      <c r="H92">
        <v>3.125E-2</v>
      </c>
      <c r="I92">
        <v>1</v>
      </c>
      <c r="J92">
        <v>2.6875</v>
      </c>
      <c r="K92">
        <v>2.6875</v>
      </c>
      <c r="L92">
        <v>5.333333333333333</v>
      </c>
      <c r="M92">
        <v>1</v>
      </c>
      <c r="N92">
        <v>1</v>
      </c>
      <c r="O92">
        <v>5</v>
      </c>
      <c r="P92">
        <v>86</v>
      </c>
      <c r="Q92">
        <v>32</v>
      </c>
      <c r="R92">
        <v>6</v>
      </c>
      <c r="S92">
        <v>7</v>
      </c>
      <c r="T92">
        <v>138</v>
      </c>
      <c r="U92">
        <v>23</v>
      </c>
      <c r="V92">
        <v>1</v>
      </c>
      <c r="W92">
        <v>86</v>
      </c>
    </row>
    <row r="93" spans="1:23" x14ac:dyDescent="0.2">
      <c r="A93" t="s">
        <v>905</v>
      </c>
      <c r="B93" t="s">
        <v>157</v>
      </c>
      <c r="C93">
        <v>8.9940717220306396</v>
      </c>
      <c r="D93">
        <v>275</v>
      </c>
      <c r="E93">
        <v>378</v>
      </c>
      <c r="F93">
        <v>9</v>
      </c>
      <c r="G93">
        <v>8</v>
      </c>
      <c r="H93">
        <v>130.27450980392149</v>
      </c>
      <c r="I93">
        <v>1.0543478260869561</v>
      </c>
      <c r="J93">
        <v>1.9019607843137261</v>
      </c>
      <c r="K93">
        <v>1.803921568627451</v>
      </c>
      <c r="L93">
        <v>6.375</v>
      </c>
      <c r="M93">
        <v>1056</v>
      </c>
      <c r="N93">
        <v>2</v>
      </c>
      <c r="O93">
        <v>3</v>
      </c>
      <c r="P93">
        <v>92</v>
      </c>
      <c r="Q93">
        <v>51</v>
      </c>
      <c r="R93">
        <v>8</v>
      </c>
      <c r="S93">
        <v>10</v>
      </c>
      <c r="T93">
        <v>413</v>
      </c>
      <c r="U93">
        <v>62</v>
      </c>
      <c r="V93">
        <v>6644</v>
      </c>
      <c r="W93">
        <v>97</v>
      </c>
    </row>
    <row r="94" spans="1:23" x14ac:dyDescent="0.2">
      <c r="A94" t="s">
        <v>906</v>
      </c>
      <c r="B94" t="s">
        <v>157</v>
      </c>
      <c r="C94">
        <v>4226.3275589942932</v>
      </c>
      <c r="D94">
        <v>2771</v>
      </c>
      <c r="E94">
        <v>4701</v>
      </c>
      <c r="F94">
        <v>10</v>
      </c>
      <c r="G94">
        <v>9</v>
      </c>
      <c r="H94">
        <v>0.69811320754716977</v>
      </c>
      <c r="I94">
        <v>1</v>
      </c>
      <c r="J94">
        <v>2</v>
      </c>
      <c r="K94">
        <v>2</v>
      </c>
      <c r="L94">
        <v>5.8888888888888893</v>
      </c>
      <c r="M94">
        <v>8</v>
      </c>
      <c r="N94">
        <v>1</v>
      </c>
      <c r="O94">
        <v>3</v>
      </c>
      <c r="P94">
        <v>106</v>
      </c>
      <c r="Q94">
        <v>53</v>
      </c>
      <c r="R94">
        <v>9</v>
      </c>
      <c r="S94">
        <v>10</v>
      </c>
      <c r="T94">
        <v>424</v>
      </c>
      <c r="U94">
        <v>66</v>
      </c>
      <c r="V94">
        <v>37</v>
      </c>
      <c r="W94">
        <v>106</v>
      </c>
    </row>
    <row r="95" spans="1:23" x14ac:dyDescent="0.2">
      <c r="A95" t="s">
        <v>907</v>
      </c>
      <c r="B95" t="s">
        <v>158</v>
      </c>
      <c r="C95" t="s">
        <v>159</v>
      </c>
      <c r="D95" t="s">
        <v>159</v>
      </c>
      <c r="E95" t="s">
        <v>159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  <c r="M95" t="s">
        <v>159</v>
      </c>
      <c r="N95" t="s">
        <v>159</v>
      </c>
      <c r="O95" t="s">
        <v>159</v>
      </c>
      <c r="P95" t="s">
        <v>159</v>
      </c>
      <c r="Q95" t="s">
        <v>159</v>
      </c>
      <c r="R95" t="s">
        <v>159</v>
      </c>
      <c r="S95" t="s">
        <v>159</v>
      </c>
      <c r="T95" t="s">
        <v>159</v>
      </c>
      <c r="U95" t="s">
        <v>159</v>
      </c>
      <c r="V95" t="s">
        <v>159</v>
      </c>
      <c r="W95" t="s">
        <v>159</v>
      </c>
    </row>
    <row r="96" spans="1:23" x14ac:dyDescent="0.2">
      <c r="A96" t="s">
        <v>908</v>
      </c>
      <c r="B96" t="s">
        <v>157</v>
      </c>
      <c r="C96">
        <v>1165.62810587883</v>
      </c>
      <c r="D96">
        <v>2391</v>
      </c>
      <c r="E96">
        <v>3469</v>
      </c>
      <c r="F96">
        <v>10</v>
      </c>
      <c r="G96">
        <v>9</v>
      </c>
      <c r="H96">
        <v>0.69811320754716977</v>
      </c>
      <c r="I96">
        <v>1</v>
      </c>
      <c r="J96">
        <v>2</v>
      </c>
      <c r="K96">
        <v>2</v>
      </c>
      <c r="L96">
        <v>5.8888888888888893</v>
      </c>
      <c r="M96">
        <v>8</v>
      </c>
      <c r="N96">
        <v>1</v>
      </c>
      <c r="O96">
        <v>3</v>
      </c>
      <c r="P96">
        <v>106</v>
      </c>
      <c r="Q96">
        <v>53</v>
      </c>
      <c r="R96">
        <v>9</v>
      </c>
      <c r="S96">
        <v>10</v>
      </c>
      <c r="T96">
        <v>424</v>
      </c>
      <c r="U96">
        <v>66</v>
      </c>
      <c r="V96">
        <v>37</v>
      </c>
      <c r="W96">
        <v>106</v>
      </c>
    </row>
    <row r="97" spans="1:23" x14ac:dyDescent="0.2">
      <c r="A97" t="s">
        <v>909</v>
      </c>
      <c r="B97" t="s">
        <v>157</v>
      </c>
      <c r="C97">
        <v>325.7437539100647</v>
      </c>
      <c r="D97">
        <v>148</v>
      </c>
      <c r="E97">
        <v>5943</v>
      </c>
      <c r="F97">
        <v>7</v>
      </c>
      <c r="G97">
        <v>4</v>
      </c>
      <c r="H97">
        <v>9.1666666666666661</v>
      </c>
      <c r="I97">
        <v>1.1445783132530121</v>
      </c>
      <c r="J97">
        <v>3.958333333333333</v>
      </c>
      <c r="K97">
        <v>3.458333333333333</v>
      </c>
      <c r="L97">
        <v>24</v>
      </c>
      <c r="M97">
        <v>24</v>
      </c>
      <c r="N97">
        <v>2</v>
      </c>
      <c r="O97">
        <v>5</v>
      </c>
      <c r="P97">
        <v>332</v>
      </c>
      <c r="Q97">
        <v>96</v>
      </c>
      <c r="R97">
        <v>4</v>
      </c>
      <c r="S97">
        <v>11</v>
      </c>
      <c r="T97">
        <v>676</v>
      </c>
      <c r="U97">
        <v>20</v>
      </c>
      <c r="V97">
        <v>880</v>
      </c>
      <c r="W97">
        <v>380</v>
      </c>
    </row>
    <row r="98" spans="1:23" x14ac:dyDescent="0.2">
      <c r="A98" t="s">
        <v>910</v>
      </c>
      <c r="B98" t="s">
        <v>158</v>
      </c>
      <c r="C98" t="s">
        <v>159</v>
      </c>
      <c r="D98" t="s">
        <v>159</v>
      </c>
      <c r="E98" t="s">
        <v>159</v>
      </c>
      <c r="F98" t="s">
        <v>159</v>
      </c>
      <c r="G98" t="s">
        <v>159</v>
      </c>
      <c r="H98" t="s">
        <v>159</v>
      </c>
      <c r="I98" t="s">
        <v>159</v>
      </c>
      <c r="J98" t="s">
        <v>159</v>
      </c>
      <c r="K98" t="s">
        <v>159</v>
      </c>
      <c r="L98" t="s">
        <v>159</v>
      </c>
      <c r="M98" t="s">
        <v>159</v>
      </c>
      <c r="N98" t="s">
        <v>159</v>
      </c>
      <c r="O98" t="s">
        <v>159</v>
      </c>
      <c r="P98" t="s">
        <v>159</v>
      </c>
      <c r="Q98" t="s">
        <v>159</v>
      </c>
      <c r="R98" t="s">
        <v>159</v>
      </c>
      <c r="S98" t="s">
        <v>159</v>
      </c>
      <c r="T98" t="s">
        <v>159</v>
      </c>
      <c r="U98" t="s">
        <v>159</v>
      </c>
      <c r="V98" t="s">
        <v>159</v>
      </c>
      <c r="W98" t="s">
        <v>159</v>
      </c>
    </row>
    <row r="99" spans="1:23" x14ac:dyDescent="0.2">
      <c r="A99" t="s">
        <v>911</v>
      </c>
      <c r="B99" t="s">
        <v>157</v>
      </c>
      <c r="C99">
        <v>1141.8560526371</v>
      </c>
      <c r="D99">
        <v>2412</v>
      </c>
      <c r="E99">
        <v>3203</v>
      </c>
      <c r="F99">
        <v>10</v>
      </c>
      <c r="G99">
        <v>9</v>
      </c>
      <c r="H99">
        <v>0.69811320754716977</v>
      </c>
      <c r="I99">
        <v>1</v>
      </c>
      <c r="J99">
        <v>2</v>
      </c>
      <c r="K99">
        <v>2</v>
      </c>
      <c r="L99">
        <v>5.8888888888888893</v>
      </c>
      <c r="M99">
        <v>8</v>
      </c>
      <c r="N99">
        <v>1</v>
      </c>
      <c r="O99">
        <v>3</v>
      </c>
      <c r="P99">
        <v>106</v>
      </c>
      <c r="Q99">
        <v>53</v>
      </c>
      <c r="R99">
        <v>9</v>
      </c>
      <c r="S99">
        <v>10</v>
      </c>
      <c r="T99">
        <v>424</v>
      </c>
      <c r="U99">
        <v>66</v>
      </c>
      <c r="V99">
        <v>37</v>
      </c>
      <c r="W99">
        <v>106</v>
      </c>
    </row>
    <row r="100" spans="1:23" x14ac:dyDescent="0.2">
      <c r="A100" t="s">
        <v>912</v>
      </c>
      <c r="B100" t="s">
        <v>157</v>
      </c>
      <c r="C100">
        <v>164.04450488090521</v>
      </c>
      <c r="D100">
        <v>771</v>
      </c>
      <c r="E100">
        <v>14698</v>
      </c>
      <c r="F100">
        <v>7</v>
      </c>
      <c r="G100">
        <v>6</v>
      </c>
      <c r="H100">
        <v>3.125E-2</v>
      </c>
      <c r="I100">
        <v>1</v>
      </c>
      <c r="J100">
        <v>2.6875</v>
      </c>
      <c r="K100">
        <v>2.6875</v>
      </c>
      <c r="L100">
        <v>5.333333333333333</v>
      </c>
      <c r="M100">
        <v>1</v>
      </c>
      <c r="N100">
        <v>1</v>
      </c>
      <c r="O100">
        <v>5</v>
      </c>
      <c r="P100">
        <v>86</v>
      </c>
      <c r="Q100">
        <v>32</v>
      </c>
      <c r="R100">
        <v>6</v>
      </c>
      <c r="S100">
        <v>7</v>
      </c>
      <c r="T100">
        <v>138</v>
      </c>
      <c r="U100">
        <v>23</v>
      </c>
      <c r="V100">
        <v>1</v>
      </c>
      <c r="W100">
        <v>86</v>
      </c>
    </row>
    <row r="101" spans="1:23" x14ac:dyDescent="0.2">
      <c r="A101" t="s">
        <v>913</v>
      </c>
      <c r="B101" t="s">
        <v>157</v>
      </c>
      <c r="C101">
        <v>64.581901550292969</v>
      </c>
      <c r="D101">
        <v>27</v>
      </c>
      <c r="E101">
        <v>2923</v>
      </c>
      <c r="F101">
        <v>4</v>
      </c>
      <c r="G101">
        <v>4</v>
      </c>
      <c r="H101">
        <v>141393.30769230769</v>
      </c>
      <c r="I101">
        <v>1.586206896551724</v>
      </c>
      <c r="J101">
        <v>3.5384615384615379</v>
      </c>
      <c r="K101">
        <v>2.2307692307692308</v>
      </c>
      <c r="L101">
        <v>13</v>
      </c>
      <c r="M101">
        <v>2985984</v>
      </c>
      <c r="N101">
        <v>3</v>
      </c>
      <c r="O101">
        <v>3</v>
      </c>
      <c r="P101">
        <v>116</v>
      </c>
      <c r="Q101">
        <v>52</v>
      </c>
      <c r="R101">
        <v>4</v>
      </c>
      <c r="S101">
        <v>12</v>
      </c>
      <c r="T101">
        <v>440</v>
      </c>
      <c r="U101">
        <v>26</v>
      </c>
      <c r="V101">
        <v>7352452</v>
      </c>
      <c r="W101">
        <v>184</v>
      </c>
    </row>
    <row r="102" spans="1:23" x14ac:dyDescent="0.2">
      <c r="A102" t="s">
        <v>914</v>
      </c>
      <c r="B102" t="s">
        <v>158</v>
      </c>
      <c r="C102" t="s">
        <v>159</v>
      </c>
      <c r="D102" t="s">
        <v>159</v>
      </c>
      <c r="E102" t="s">
        <v>159</v>
      </c>
      <c r="F102" t="s">
        <v>159</v>
      </c>
      <c r="G102" t="s">
        <v>159</v>
      </c>
      <c r="H102" t="s">
        <v>159</v>
      </c>
      <c r="I102" t="s">
        <v>159</v>
      </c>
      <c r="J102" t="s">
        <v>159</v>
      </c>
      <c r="K102" t="s">
        <v>159</v>
      </c>
      <c r="L102" t="s">
        <v>159</v>
      </c>
      <c r="M102" t="s">
        <v>159</v>
      </c>
      <c r="N102" t="s">
        <v>159</v>
      </c>
      <c r="O102" t="s">
        <v>159</v>
      </c>
      <c r="P102" t="s">
        <v>159</v>
      </c>
      <c r="Q102" t="s">
        <v>159</v>
      </c>
      <c r="R102" t="s">
        <v>159</v>
      </c>
      <c r="S102" t="s">
        <v>159</v>
      </c>
      <c r="T102" t="s">
        <v>159</v>
      </c>
      <c r="U102" t="s">
        <v>159</v>
      </c>
      <c r="V102" t="s">
        <v>159</v>
      </c>
      <c r="W102" t="s">
        <v>159</v>
      </c>
    </row>
    <row r="103" spans="1:23" x14ac:dyDescent="0.2">
      <c r="A103" t="s">
        <v>915</v>
      </c>
      <c r="B103" t="s">
        <v>157</v>
      </c>
      <c r="C103">
        <v>12.425306081771851</v>
      </c>
      <c r="D103">
        <v>275</v>
      </c>
      <c r="E103">
        <v>370</v>
      </c>
      <c r="F103">
        <v>9</v>
      </c>
      <c r="G103">
        <v>8</v>
      </c>
      <c r="H103">
        <v>51.549019607843142</v>
      </c>
      <c r="I103">
        <v>1.0543478260869561</v>
      </c>
      <c r="J103">
        <v>1.9019607843137261</v>
      </c>
      <c r="K103">
        <v>1.803921568627451</v>
      </c>
      <c r="L103">
        <v>6.375</v>
      </c>
      <c r="M103">
        <v>284</v>
      </c>
      <c r="N103">
        <v>2</v>
      </c>
      <c r="O103">
        <v>3</v>
      </c>
      <c r="P103">
        <v>92</v>
      </c>
      <c r="Q103">
        <v>51</v>
      </c>
      <c r="R103">
        <v>8</v>
      </c>
      <c r="S103">
        <v>10</v>
      </c>
      <c r="T103">
        <v>413</v>
      </c>
      <c r="U103">
        <v>62</v>
      </c>
      <c r="V103">
        <v>2629</v>
      </c>
      <c r="W103">
        <v>97</v>
      </c>
    </row>
    <row r="104" spans="1:23" x14ac:dyDescent="0.2">
      <c r="A104" t="s">
        <v>916</v>
      </c>
      <c r="B104" t="s">
        <v>157</v>
      </c>
      <c r="C104">
        <v>919.10961389541637</v>
      </c>
      <c r="D104">
        <v>145</v>
      </c>
      <c r="E104">
        <v>5355</v>
      </c>
      <c r="F104">
        <v>7</v>
      </c>
      <c r="G104">
        <v>4</v>
      </c>
      <c r="H104">
        <v>9.3333333333333339</v>
      </c>
      <c r="I104">
        <v>1.141176470588235</v>
      </c>
      <c r="J104">
        <v>4.041666666666667</v>
      </c>
      <c r="K104">
        <v>3.541666666666667</v>
      </c>
      <c r="L104">
        <v>24</v>
      </c>
      <c r="M104">
        <v>24</v>
      </c>
      <c r="N104">
        <v>2</v>
      </c>
      <c r="O104">
        <v>5</v>
      </c>
      <c r="P104">
        <v>340</v>
      </c>
      <c r="Q104">
        <v>96</v>
      </c>
      <c r="R104">
        <v>4</v>
      </c>
      <c r="S104">
        <v>11</v>
      </c>
      <c r="T104">
        <v>668</v>
      </c>
      <c r="U104">
        <v>20</v>
      </c>
      <c r="V104">
        <v>896</v>
      </c>
      <c r="W104">
        <v>388</v>
      </c>
    </row>
    <row r="105" spans="1:23" x14ac:dyDescent="0.2">
      <c r="A105" t="s">
        <v>917</v>
      </c>
      <c r="B105" t="s">
        <v>157</v>
      </c>
      <c r="C105">
        <v>4.0327444076538086</v>
      </c>
      <c r="D105">
        <v>148</v>
      </c>
      <c r="E105">
        <v>921</v>
      </c>
      <c r="F105">
        <v>8</v>
      </c>
      <c r="G105">
        <v>6</v>
      </c>
      <c r="H105">
        <v>0</v>
      </c>
      <c r="I105">
        <v>1.060240963855422</v>
      </c>
      <c r="J105">
        <v>2.75</v>
      </c>
      <c r="K105">
        <v>2.59375</v>
      </c>
      <c r="L105">
        <v>5.333333333333333</v>
      </c>
      <c r="M105">
        <v>0</v>
      </c>
      <c r="N105">
        <v>6</v>
      </c>
      <c r="O105">
        <v>5</v>
      </c>
      <c r="P105">
        <v>83</v>
      </c>
      <c r="Q105">
        <v>32</v>
      </c>
      <c r="R105">
        <v>6</v>
      </c>
      <c r="S105">
        <v>13</v>
      </c>
      <c r="T105">
        <v>328</v>
      </c>
      <c r="U105">
        <v>57</v>
      </c>
      <c r="V105">
        <v>0</v>
      </c>
      <c r="W105">
        <v>88</v>
      </c>
    </row>
    <row r="106" spans="1:23" x14ac:dyDescent="0.2">
      <c r="A106" t="s">
        <v>918</v>
      </c>
      <c r="B106" t="s">
        <v>158</v>
      </c>
      <c r="C106" t="s">
        <v>159</v>
      </c>
      <c r="D106" t="s">
        <v>159</v>
      </c>
      <c r="E106" t="s">
        <v>159</v>
      </c>
      <c r="F106" t="s">
        <v>159</v>
      </c>
      <c r="G106" t="s">
        <v>159</v>
      </c>
      <c r="H106" t="s">
        <v>159</v>
      </c>
      <c r="I106" t="s">
        <v>159</v>
      </c>
      <c r="J106" t="s">
        <v>159</v>
      </c>
      <c r="K106" t="s">
        <v>159</v>
      </c>
      <c r="L106" t="s">
        <v>159</v>
      </c>
      <c r="M106" t="s">
        <v>159</v>
      </c>
      <c r="N106" t="s">
        <v>159</v>
      </c>
      <c r="O106" t="s">
        <v>159</v>
      </c>
      <c r="P106" t="s">
        <v>159</v>
      </c>
      <c r="Q106" t="s">
        <v>159</v>
      </c>
      <c r="R106" t="s">
        <v>159</v>
      </c>
      <c r="S106" t="s">
        <v>159</v>
      </c>
      <c r="T106" t="s">
        <v>159</v>
      </c>
      <c r="U106" t="s">
        <v>159</v>
      </c>
      <c r="V106" t="s">
        <v>159</v>
      </c>
      <c r="W106" t="s">
        <v>159</v>
      </c>
    </row>
    <row r="107" spans="1:23" x14ac:dyDescent="0.2">
      <c r="A107" t="s">
        <v>919</v>
      </c>
      <c r="B107" t="s">
        <v>157</v>
      </c>
      <c r="C107">
        <v>136.76605129241941</v>
      </c>
      <c r="D107">
        <v>750</v>
      </c>
      <c r="E107">
        <v>11072</v>
      </c>
      <c r="F107">
        <v>7</v>
      </c>
      <c r="G107">
        <v>6</v>
      </c>
      <c r="H107">
        <v>3.125E-2</v>
      </c>
      <c r="I107">
        <v>1</v>
      </c>
      <c r="J107">
        <v>2.6875</v>
      </c>
      <c r="K107">
        <v>2.6875</v>
      </c>
      <c r="L107">
        <v>5.333333333333333</v>
      </c>
      <c r="M107">
        <v>1</v>
      </c>
      <c r="N107">
        <v>1</v>
      </c>
      <c r="O107">
        <v>5</v>
      </c>
      <c r="P107">
        <v>86</v>
      </c>
      <c r="Q107">
        <v>32</v>
      </c>
      <c r="R107">
        <v>6</v>
      </c>
      <c r="S107">
        <v>7</v>
      </c>
      <c r="T107">
        <v>138</v>
      </c>
      <c r="U107">
        <v>23</v>
      </c>
      <c r="V107">
        <v>1</v>
      </c>
      <c r="W107">
        <v>86</v>
      </c>
    </row>
    <row r="108" spans="1:23" x14ac:dyDescent="0.2">
      <c r="A108" t="s">
        <v>920</v>
      </c>
      <c r="B108" t="s">
        <v>157</v>
      </c>
      <c r="C108">
        <v>137.94158720970151</v>
      </c>
      <c r="D108">
        <v>83</v>
      </c>
      <c r="E108">
        <v>6181</v>
      </c>
      <c r="F108">
        <v>7</v>
      </c>
      <c r="G108">
        <v>4</v>
      </c>
      <c r="H108">
        <v>9.1666666666666661</v>
      </c>
      <c r="I108">
        <v>1.1445783132530121</v>
      </c>
      <c r="J108">
        <v>3.958333333333333</v>
      </c>
      <c r="K108">
        <v>3.458333333333333</v>
      </c>
      <c r="L108">
        <v>24</v>
      </c>
      <c r="M108">
        <v>24</v>
      </c>
      <c r="N108">
        <v>2</v>
      </c>
      <c r="O108">
        <v>5</v>
      </c>
      <c r="P108">
        <v>332</v>
      </c>
      <c r="Q108">
        <v>96</v>
      </c>
      <c r="R108">
        <v>4</v>
      </c>
      <c r="S108">
        <v>11</v>
      </c>
      <c r="T108">
        <v>676</v>
      </c>
      <c r="U108">
        <v>20</v>
      </c>
      <c r="V108">
        <v>880</v>
      </c>
      <c r="W108">
        <v>380</v>
      </c>
    </row>
    <row r="109" spans="1:23" x14ac:dyDescent="0.2">
      <c r="A109" t="s">
        <v>921</v>
      </c>
      <c r="B109" t="s">
        <v>157</v>
      </c>
      <c r="C109">
        <v>5438.978750705719</v>
      </c>
      <c r="D109">
        <v>2837</v>
      </c>
      <c r="E109">
        <v>4903</v>
      </c>
      <c r="F109">
        <v>10</v>
      </c>
      <c r="G109">
        <v>9</v>
      </c>
      <c r="H109">
        <v>0.69811320754716977</v>
      </c>
      <c r="I109">
        <v>1</v>
      </c>
      <c r="J109">
        <v>2</v>
      </c>
      <c r="K109">
        <v>2</v>
      </c>
      <c r="L109">
        <v>5.8888888888888893</v>
      </c>
      <c r="M109">
        <v>8</v>
      </c>
      <c r="N109">
        <v>1</v>
      </c>
      <c r="O109">
        <v>3</v>
      </c>
      <c r="P109">
        <v>106</v>
      </c>
      <c r="Q109">
        <v>53</v>
      </c>
      <c r="R109">
        <v>9</v>
      </c>
      <c r="S109">
        <v>10</v>
      </c>
      <c r="T109">
        <v>424</v>
      </c>
      <c r="U109">
        <v>66</v>
      </c>
      <c r="V109">
        <v>37</v>
      </c>
      <c r="W109">
        <v>106</v>
      </c>
    </row>
    <row r="110" spans="1:23" x14ac:dyDescent="0.2">
      <c r="A110" t="s">
        <v>922</v>
      </c>
      <c r="B110" t="s">
        <v>158</v>
      </c>
      <c r="C110" t="s">
        <v>159</v>
      </c>
      <c r="D110" t="s">
        <v>159</v>
      </c>
      <c r="E110" t="s">
        <v>159</v>
      </c>
      <c r="F110" t="s">
        <v>159</v>
      </c>
      <c r="G110" t="s">
        <v>159</v>
      </c>
      <c r="H110" t="s">
        <v>159</v>
      </c>
      <c r="I110" t="s">
        <v>159</v>
      </c>
      <c r="J110" t="s">
        <v>159</v>
      </c>
      <c r="K110" t="s">
        <v>159</v>
      </c>
      <c r="L110" t="s">
        <v>159</v>
      </c>
      <c r="M110" t="s">
        <v>159</v>
      </c>
      <c r="N110" t="s">
        <v>159</v>
      </c>
      <c r="O110" t="s">
        <v>159</v>
      </c>
      <c r="P110" t="s">
        <v>159</v>
      </c>
      <c r="Q110" t="s">
        <v>159</v>
      </c>
      <c r="R110" t="s">
        <v>159</v>
      </c>
      <c r="S110" t="s">
        <v>159</v>
      </c>
      <c r="T110" t="s">
        <v>159</v>
      </c>
      <c r="U110" t="s">
        <v>159</v>
      </c>
      <c r="V110" t="s">
        <v>159</v>
      </c>
      <c r="W110" t="s">
        <v>159</v>
      </c>
    </row>
    <row r="111" spans="1:23" x14ac:dyDescent="0.2">
      <c r="A111" t="s">
        <v>923</v>
      </c>
      <c r="B111" t="s">
        <v>157</v>
      </c>
      <c r="C111">
        <v>13.29480600357056</v>
      </c>
      <c r="D111">
        <v>265</v>
      </c>
      <c r="E111">
        <v>253</v>
      </c>
      <c r="F111">
        <v>8</v>
      </c>
      <c r="G111">
        <v>7</v>
      </c>
      <c r="H111">
        <v>0.6470588235294118</v>
      </c>
      <c r="I111">
        <v>1</v>
      </c>
      <c r="J111">
        <v>1.794117647058824</v>
      </c>
      <c r="K111">
        <v>1.794117647058824</v>
      </c>
      <c r="L111">
        <v>4.8571428571428568</v>
      </c>
      <c r="M111">
        <v>6</v>
      </c>
      <c r="N111">
        <v>1</v>
      </c>
      <c r="O111">
        <v>3</v>
      </c>
      <c r="P111">
        <v>61</v>
      </c>
      <c r="Q111">
        <v>34</v>
      </c>
      <c r="R111">
        <v>7</v>
      </c>
      <c r="S111">
        <v>8</v>
      </c>
      <c r="T111">
        <v>211</v>
      </c>
      <c r="U111">
        <v>38</v>
      </c>
      <c r="V111">
        <v>22</v>
      </c>
      <c r="W111">
        <v>61</v>
      </c>
    </row>
    <row r="112" spans="1:23" x14ac:dyDescent="0.2">
      <c r="A112" t="s">
        <v>924</v>
      </c>
      <c r="B112" t="s">
        <v>157</v>
      </c>
      <c r="C112">
        <v>400.25531721115112</v>
      </c>
      <c r="D112">
        <v>162</v>
      </c>
      <c r="E112">
        <v>6352</v>
      </c>
      <c r="F112">
        <v>7</v>
      </c>
      <c r="G112">
        <v>4</v>
      </c>
      <c r="H112">
        <v>9.1666666666666661</v>
      </c>
      <c r="I112">
        <v>1.1445783132530121</v>
      </c>
      <c r="J112">
        <v>3.958333333333333</v>
      </c>
      <c r="K112">
        <v>3.458333333333333</v>
      </c>
      <c r="L112">
        <v>24</v>
      </c>
      <c r="M112">
        <v>24</v>
      </c>
      <c r="N112">
        <v>2</v>
      </c>
      <c r="O112">
        <v>5</v>
      </c>
      <c r="P112">
        <v>332</v>
      </c>
      <c r="Q112">
        <v>96</v>
      </c>
      <c r="R112">
        <v>4</v>
      </c>
      <c r="S112">
        <v>11</v>
      </c>
      <c r="T112">
        <v>676</v>
      </c>
      <c r="U112">
        <v>20</v>
      </c>
      <c r="V112">
        <v>880</v>
      </c>
      <c r="W112">
        <v>380</v>
      </c>
    </row>
    <row r="113" spans="1:23" x14ac:dyDescent="0.2">
      <c r="A113" t="s">
        <v>925</v>
      </c>
      <c r="B113" t="s">
        <v>157</v>
      </c>
      <c r="C113">
        <v>2042.8076794147489</v>
      </c>
      <c r="D113">
        <v>2708</v>
      </c>
      <c r="E113">
        <v>4121</v>
      </c>
      <c r="F113">
        <v>10</v>
      </c>
      <c r="G113">
        <v>9</v>
      </c>
      <c r="H113">
        <v>0.69811320754716977</v>
      </c>
      <c r="I113">
        <v>1</v>
      </c>
      <c r="J113">
        <v>2</v>
      </c>
      <c r="K113">
        <v>2</v>
      </c>
      <c r="L113">
        <v>5.8888888888888893</v>
      </c>
      <c r="M113">
        <v>8</v>
      </c>
      <c r="N113">
        <v>1</v>
      </c>
      <c r="O113">
        <v>3</v>
      </c>
      <c r="P113">
        <v>106</v>
      </c>
      <c r="Q113">
        <v>53</v>
      </c>
      <c r="R113">
        <v>9</v>
      </c>
      <c r="S113">
        <v>10</v>
      </c>
      <c r="T113">
        <v>424</v>
      </c>
      <c r="U113">
        <v>66</v>
      </c>
      <c r="V113">
        <v>37</v>
      </c>
      <c r="W113">
        <v>106</v>
      </c>
    </row>
    <row r="114" spans="1:23" x14ac:dyDescent="0.2">
      <c r="A114" t="s">
        <v>926</v>
      </c>
      <c r="B114" t="s">
        <v>158</v>
      </c>
      <c r="C114" t="s">
        <v>159</v>
      </c>
      <c r="D114" t="s">
        <v>159</v>
      </c>
      <c r="E114" t="s">
        <v>159</v>
      </c>
      <c r="F114" t="s">
        <v>159</v>
      </c>
      <c r="G114" t="s">
        <v>159</v>
      </c>
      <c r="H114" t="s">
        <v>159</v>
      </c>
      <c r="I114" t="s">
        <v>159</v>
      </c>
      <c r="J114" t="s">
        <v>159</v>
      </c>
      <c r="K114" t="s">
        <v>159</v>
      </c>
      <c r="L114" t="s">
        <v>159</v>
      </c>
      <c r="M114" t="s">
        <v>159</v>
      </c>
      <c r="N114" t="s">
        <v>159</v>
      </c>
      <c r="O114" t="s">
        <v>159</v>
      </c>
      <c r="P114" t="s">
        <v>159</v>
      </c>
      <c r="Q114" t="s">
        <v>159</v>
      </c>
      <c r="R114" t="s">
        <v>159</v>
      </c>
      <c r="S114" t="s">
        <v>159</v>
      </c>
      <c r="T114" t="s">
        <v>159</v>
      </c>
      <c r="U114" t="s">
        <v>159</v>
      </c>
      <c r="V114" t="s">
        <v>159</v>
      </c>
      <c r="W114" t="s">
        <v>159</v>
      </c>
    </row>
    <row r="115" spans="1:23" x14ac:dyDescent="0.2">
      <c r="A115" t="s">
        <v>927</v>
      </c>
      <c r="B115" t="s">
        <v>158</v>
      </c>
      <c r="C115" t="s">
        <v>159</v>
      </c>
      <c r="D115" t="s">
        <v>159</v>
      </c>
      <c r="E115" t="s">
        <v>159</v>
      </c>
      <c r="F115" t="s">
        <v>159</v>
      </c>
      <c r="G115" t="s">
        <v>159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  <c r="N115" t="s">
        <v>159</v>
      </c>
      <c r="O115" t="s">
        <v>159</v>
      </c>
      <c r="P115" t="s">
        <v>159</v>
      </c>
      <c r="Q115" t="s">
        <v>159</v>
      </c>
      <c r="R115" t="s">
        <v>159</v>
      </c>
      <c r="S115" t="s">
        <v>159</v>
      </c>
      <c r="T115" t="s">
        <v>159</v>
      </c>
      <c r="U115" t="s">
        <v>159</v>
      </c>
      <c r="V115" t="s">
        <v>159</v>
      </c>
      <c r="W115" t="s">
        <v>159</v>
      </c>
    </row>
    <row r="116" spans="1:23" x14ac:dyDescent="0.2">
      <c r="A116" t="s">
        <v>928</v>
      </c>
      <c r="B116" t="s">
        <v>158</v>
      </c>
      <c r="C116" t="s">
        <v>159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  <c r="N116" t="s">
        <v>159</v>
      </c>
      <c r="O116" t="s">
        <v>159</v>
      </c>
      <c r="P116" t="s">
        <v>159</v>
      </c>
      <c r="Q116" t="s">
        <v>159</v>
      </c>
      <c r="R116" t="s">
        <v>159</v>
      </c>
      <c r="S116" t="s">
        <v>159</v>
      </c>
      <c r="T116" t="s">
        <v>159</v>
      </c>
      <c r="U116" t="s">
        <v>159</v>
      </c>
      <c r="V116" t="s">
        <v>159</v>
      </c>
      <c r="W116" t="s">
        <v>159</v>
      </c>
    </row>
    <row r="117" spans="1:23" x14ac:dyDescent="0.2">
      <c r="A117" t="s">
        <v>929</v>
      </c>
      <c r="B117" t="s">
        <v>157</v>
      </c>
      <c r="C117">
        <v>6.6153213977813721</v>
      </c>
      <c r="D117">
        <v>179</v>
      </c>
      <c r="E117">
        <v>1621</v>
      </c>
      <c r="F117">
        <v>8</v>
      </c>
      <c r="G117">
        <v>6</v>
      </c>
      <c r="H117">
        <v>0</v>
      </c>
      <c r="I117">
        <v>1.060240963855422</v>
      </c>
      <c r="J117">
        <v>2.75</v>
      </c>
      <c r="K117">
        <v>2.59375</v>
      </c>
      <c r="L117">
        <v>5.333333333333333</v>
      </c>
      <c r="M117">
        <v>0</v>
      </c>
      <c r="N117">
        <v>6</v>
      </c>
      <c r="O117">
        <v>5</v>
      </c>
      <c r="P117">
        <v>83</v>
      </c>
      <c r="Q117">
        <v>32</v>
      </c>
      <c r="R117">
        <v>6</v>
      </c>
      <c r="S117">
        <v>13</v>
      </c>
      <c r="T117">
        <v>328</v>
      </c>
      <c r="U117">
        <v>57</v>
      </c>
      <c r="V117">
        <v>0</v>
      </c>
      <c r="W117">
        <v>88</v>
      </c>
    </row>
    <row r="118" spans="1:23" x14ac:dyDescent="0.2">
      <c r="A118" t="s">
        <v>930</v>
      </c>
      <c r="B118" t="s">
        <v>157</v>
      </c>
      <c r="C118">
        <v>8.787545919418335</v>
      </c>
      <c r="D118">
        <v>251</v>
      </c>
      <c r="E118">
        <v>301</v>
      </c>
      <c r="F118">
        <v>9</v>
      </c>
      <c r="G118">
        <v>8</v>
      </c>
      <c r="H118">
        <v>130.25490196078431</v>
      </c>
      <c r="I118">
        <v>1.0543478260869561</v>
      </c>
      <c r="J118">
        <v>1.9019607843137261</v>
      </c>
      <c r="K118">
        <v>1.803921568627451</v>
      </c>
      <c r="L118">
        <v>6.375</v>
      </c>
      <c r="M118">
        <v>1056</v>
      </c>
      <c r="N118">
        <v>2</v>
      </c>
      <c r="O118">
        <v>3</v>
      </c>
      <c r="P118">
        <v>92</v>
      </c>
      <c r="Q118">
        <v>51</v>
      </c>
      <c r="R118">
        <v>8</v>
      </c>
      <c r="S118">
        <v>10</v>
      </c>
      <c r="T118">
        <v>413</v>
      </c>
      <c r="U118">
        <v>62</v>
      </c>
      <c r="V118">
        <v>6643</v>
      </c>
      <c r="W118">
        <v>97</v>
      </c>
    </row>
    <row r="119" spans="1:23" x14ac:dyDescent="0.2">
      <c r="A119" t="s">
        <v>931</v>
      </c>
      <c r="B119" t="s">
        <v>157</v>
      </c>
      <c r="C119">
        <v>51.507988691329949</v>
      </c>
      <c r="D119">
        <v>353</v>
      </c>
      <c r="E119">
        <v>1525</v>
      </c>
      <c r="F119">
        <v>7</v>
      </c>
      <c r="G119">
        <v>6</v>
      </c>
      <c r="H119">
        <v>6.25E-2</v>
      </c>
      <c r="I119">
        <v>0.9850746268656716</v>
      </c>
      <c r="J119">
        <v>2.0625</v>
      </c>
      <c r="K119">
        <v>2.09375</v>
      </c>
      <c r="L119">
        <v>5.333333333333333</v>
      </c>
      <c r="M119">
        <v>1</v>
      </c>
      <c r="N119">
        <v>1</v>
      </c>
      <c r="O119">
        <v>4</v>
      </c>
      <c r="P119">
        <v>67</v>
      </c>
      <c r="Q119">
        <v>32</v>
      </c>
      <c r="R119">
        <v>6</v>
      </c>
      <c r="S119">
        <v>6</v>
      </c>
      <c r="T119">
        <v>126</v>
      </c>
      <c r="U119">
        <v>19</v>
      </c>
      <c r="V119">
        <v>2</v>
      </c>
      <c r="W119">
        <v>66</v>
      </c>
    </row>
    <row r="120" spans="1:23" x14ac:dyDescent="0.2">
      <c r="A120" t="s">
        <v>932</v>
      </c>
      <c r="B120" t="s">
        <v>158</v>
      </c>
      <c r="C120" t="s">
        <v>159</v>
      </c>
      <c r="D120" t="s">
        <v>159</v>
      </c>
      <c r="E120" t="s">
        <v>159</v>
      </c>
      <c r="F120" t="s">
        <v>159</v>
      </c>
      <c r="G120" t="s">
        <v>159</v>
      </c>
      <c r="H120" t="s">
        <v>159</v>
      </c>
      <c r="I120" t="s">
        <v>159</v>
      </c>
      <c r="J120" t="s">
        <v>159</v>
      </c>
      <c r="K120" t="s">
        <v>159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  <c r="Q120" t="s">
        <v>159</v>
      </c>
      <c r="R120" t="s">
        <v>159</v>
      </c>
      <c r="S120" t="s">
        <v>159</v>
      </c>
      <c r="T120" t="s">
        <v>159</v>
      </c>
      <c r="U120" t="s">
        <v>159</v>
      </c>
      <c r="V120" t="s">
        <v>159</v>
      </c>
      <c r="W120" t="s">
        <v>159</v>
      </c>
    </row>
    <row r="121" spans="1:23" x14ac:dyDescent="0.2">
      <c r="A121" t="s">
        <v>933</v>
      </c>
      <c r="B121" t="s">
        <v>157</v>
      </c>
      <c r="C121">
        <v>147.83823180198669</v>
      </c>
      <c r="D121">
        <v>862</v>
      </c>
      <c r="E121">
        <v>1124</v>
      </c>
      <c r="F121">
        <v>9</v>
      </c>
      <c r="G121">
        <v>8</v>
      </c>
      <c r="H121">
        <v>0.67441860465116277</v>
      </c>
      <c r="I121">
        <v>1</v>
      </c>
      <c r="J121">
        <v>1.9069767441860459</v>
      </c>
      <c r="K121">
        <v>1.9069767441860459</v>
      </c>
      <c r="L121">
        <v>5.375</v>
      </c>
      <c r="M121">
        <v>7</v>
      </c>
      <c r="N121">
        <v>1</v>
      </c>
      <c r="O121">
        <v>3</v>
      </c>
      <c r="P121">
        <v>82</v>
      </c>
      <c r="Q121">
        <v>43</v>
      </c>
      <c r="R121">
        <v>8</v>
      </c>
      <c r="S121">
        <v>9</v>
      </c>
      <c r="T121">
        <v>305</v>
      </c>
      <c r="U121">
        <v>51</v>
      </c>
      <c r="V121">
        <v>29</v>
      </c>
      <c r="W121">
        <v>82</v>
      </c>
    </row>
    <row r="122" spans="1:23" x14ac:dyDescent="0.2">
      <c r="A122" t="s">
        <v>934</v>
      </c>
      <c r="B122" t="s">
        <v>157</v>
      </c>
      <c r="C122">
        <v>733.70381188392639</v>
      </c>
      <c r="D122">
        <v>1951</v>
      </c>
      <c r="E122">
        <v>3170</v>
      </c>
      <c r="F122">
        <v>10</v>
      </c>
      <c r="G122">
        <v>9</v>
      </c>
      <c r="H122">
        <v>57884043949446.672</v>
      </c>
      <c r="I122">
        <v>1.028846153846154</v>
      </c>
      <c r="J122">
        <v>2.0776699029126209</v>
      </c>
      <c r="K122">
        <v>2.0194174757281549</v>
      </c>
      <c r="L122">
        <v>11.444444444444439</v>
      </c>
      <c r="M122">
        <v>1212982689600000</v>
      </c>
      <c r="N122">
        <v>2</v>
      </c>
      <c r="O122">
        <v>4</v>
      </c>
      <c r="P122">
        <v>208</v>
      </c>
      <c r="Q122">
        <v>103</v>
      </c>
      <c r="R122">
        <v>9</v>
      </c>
      <c r="S122">
        <v>19</v>
      </c>
      <c r="T122">
        <v>1743</v>
      </c>
      <c r="U122">
        <v>144</v>
      </c>
      <c r="V122">
        <v>5962056526793007</v>
      </c>
      <c r="W122">
        <v>214</v>
      </c>
    </row>
    <row r="123" spans="1:23" x14ac:dyDescent="0.2">
      <c r="A123" t="s">
        <v>935</v>
      </c>
      <c r="B123" t="s">
        <v>157</v>
      </c>
      <c r="C123">
        <v>505.07310891151428</v>
      </c>
      <c r="D123">
        <v>35</v>
      </c>
      <c r="E123">
        <v>3529</v>
      </c>
      <c r="F123">
        <v>4</v>
      </c>
      <c r="G123">
        <v>4</v>
      </c>
      <c r="H123">
        <v>141393.30769230769</v>
      </c>
      <c r="I123">
        <v>1.586206896551724</v>
      </c>
      <c r="J123">
        <v>3.5384615384615379</v>
      </c>
      <c r="K123">
        <v>2.2307692307692308</v>
      </c>
      <c r="L123">
        <v>13</v>
      </c>
      <c r="M123">
        <v>2985984</v>
      </c>
      <c r="N123">
        <v>3</v>
      </c>
      <c r="O123">
        <v>3</v>
      </c>
      <c r="P123">
        <v>116</v>
      </c>
      <c r="Q123">
        <v>52</v>
      </c>
      <c r="R123">
        <v>4</v>
      </c>
      <c r="S123">
        <v>12</v>
      </c>
      <c r="T123">
        <v>440</v>
      </c>
      <c r="U123">
        <v>26</v>
      </c>
      <c r="V123">
        <v>7352452</v>
      </c>
      <c r="W123">
        <v>184</v>
      </c>
    </row>
    <row r="124" spans="1:23" x14ac:dyDescent="0.2">
      <c r="A124" t="s">
        <v>936</v>
      </c>
      <c r="B124" t="s">
        <v>157</v>
      </c>
      <c r="C124">
        <v>232.1298713684082</v>
      </c>
      <c r="D124">
        <v>26</v>
      </c>
      <c r="E124">
        <v>2358</v>
      </c>
      <c r="F124">
        <v>4</v>
      </c>
      <c r="G124">
        <v>4</v>
      </c>
      <c r="H124">
        <v>141029.84615384621</v>
      </c>
      <c r="I124">
        <v>1.586206896551724</v>
      </c>
      <c r="J124">
        <v>3.5384615384615379</v>
      </c>
      <c r="K124">
        <v>2.2307692307692308</v>
      </c>
      <c r="L124">
        <v>13</v>
      </c>
      <c r="M124">
        <v>2985984</v>
      </c>
      <c r="N124">
        <v>3</v>
      </c>
      <c r="O124">
        <v>3</v>
      </c>
      <c r="P124">
        <v>116</v>
      </c>
      <c r="Q124">
        <v>52</v>
      </c>
      <c r="R124">
        <v>4</v>
      </c>
      <c r="S124">
        <v>12</v>
      </c>
      <c r="T124">
        <v>440</v>
      </c>
      <c r="U124">
        <v>26</v>
      </c>
      <c r="V124">
        <v>7333552</v>
      </c>
      <c r="W124">
        <v>184</v>
      </c>
    </row>
    <row r="125" spans="1:23" x14ac:dyDescent="0.2">
      <c r="A125" t="s">
        <v>937</v>
      </c>
      <c r="B125" t="s">
        <v>158</v>
      </c>
      <c r="C125" t="s">
        <v>159</v>
      </c>
      <c r="D125" t="s">
        <v>159</v>
      </c>
      <c r="E125" t="s">
        <v>159</v>
      </c>
      <c r="F125" t="s">
        <v>159</v>
      </c>
      <c r="G125" t="s">
        <v>159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  <c r="O125" t="s">
        <v>159</v>
      </c>
      <c r="P125" t="s">
        <v>159</v>
      </c>
      <c r="Q125" t="s">
        <v>159</v>
      </c>
      <c r="R125" t="s">
        <v>159</v>
      </c>
      <c r="S125" t="s">
        <v>159</v>
      </c>
      <c r="T125" t="s">
        <v>159</v>
      </c>
      <c r="U125" t="s">
        <v>159</v>
      </c>
      <c r="V125" t="s">
        <v>159</v>
      </c>
      <c r="W125" t="s">
        <v>159</v>
      </c>
    </row>
    <row r="126" spans="1:23" x14ac:dyDescent="0.2">
      <c r="A126" t="s">
        <v>938</v>
      </c>
      <c r="B126" t="s">
        <v>157</v>
      </c>
      <c r="C126">
        <v>1241.1843709945681</v>
      </c>
      <c r="D126">
        <v>2863</v>
      </c>
      <c r="E126">
        <v>5261</v>
      </c>
      <c r="F126">
        <v>10</v>
      </c>
      <c r="G126">
        <v>9</v>
      </c>
      <c r="H126">
        <v>0.69811320754716977</v>
      </c>
      <c r="I126">
        <v>1</v>
      </c>
      <c r="J126">
        <v>2</v>
      </c>
      <c r="K126">
        <v>2</v>
      </c>
      <c r="L126">
        <v>5.8888888888888893</v>
      </c>
      <c r="M126">
        <v>8</v>
      </c>
      <c r="N126">
        <v>1</v>
      </c>
      <c r="O126">
        <v>3</v>
      </c>
      <c r="P126">
        <v>106</v>
      </c>
      <c r="Q126">
        <v>53</v>
      </c>
      <c r="R126">
        <v>9</v>
      </c>
      <c r="S126">
        <v>10</v>
      </c>
      <c r="T126">
        <v>424</v>
      </c>
      <c r="U126">
        <v>66</v>
      </c>
      <c r="V126">
        <v>37</v>
      </c>
      <c r="W126">
        <v>106</v>
      </c>
    </row>
    <row r="127" spans="1:23" x14ac:dyDescent="0.2">
      <c r="A127" t="s">
        <v>939</v>
      </c>
      <c r="B127" t="s">
        <v>157</v>
      </c>
      <c r="C127">
        <v>1568.3146359920499</v>
      </c>
      <c r="D127">
        <v>2728</v>
      </c>
      <c r="E127">
        <v>3932</v>
      </c>
      <c r="F127">
        <v>10</v>
      </c>
      <c r="G127">
        <v>9</v>
      </c>
      <c r="H127">
        <v>0.69811320754716977</v>
      </c>
      <c r="I127">
        <v>1</v>
      </c>
      <c r="J127">
        <v>2</v>
      </c>
      <c r="K127">
        <v>2</v>
      </c>
      <c r="L127">
        <v>5.8888888888888893</v>
      </c>
      <c r="M127">
        <v>8</v>
      </c>
      <c r="N127">
        <v>1</v>
      </c>
      <c r="O127">
        <v>3</v>
      </c>
      <c r="P127">
        <v>106</v>
      </c>
      <c r="Q127">
        <v>53</v>
      </c>
      <c r="R127">
        <v>9</v>
      </c>
      <c r="S127">
        <v>10</v>
      </c>
      <c r="T127">
        <v>424</v>
      </c>
      <c r="U127">
        <v>66</v>
      </c>
      <c r="V127">
        <v>37</v>
      </c>
      <c r="W127">
        <v>106</v>
      </c>
    </row>
    <row r="128" spans="1:23" x14ac:dyDescent="0.2">
      <c r="A128" t="s">
        <v>940</v>
      </c>
      <c r="B128" t="s">
        <v>157</v>
      </c>
      <c r="C128">
        <v>885.86820483207703</v>
      </c>
      <c r="D128">
        <v>2524</v>
      </c>
      <c r="E128">
        <v>4086</v>
      </c>
      <c r="F128">
        <v>10</v>
      </c>
      <c r="G128">
        <v>9</v>
      </c>
      <c r="H128">
        <v>0.69811320754716977</v>
      </c>
      <c r="I128">
        <v>1</v>
      </c>
      <c r="J128">
        <v>2</v>
      </c>
      <c r="K128">
        <v>2</v>
      </c>
      <c r="L128">
        <v>5.8888888888888893</v>
      </c>
      <c r="M128">
        <v>8</v>
      </c>
      <c r="N128">
        <v>1</v>
      </c>
      <c r="O128">
        <v>3</v>
      </c>
      <c r="P128">
        <v>106</v>
      </c>
      <c r="Q128">
        <v>53</v>
      </c>
      <c r="R128">
        <v>9</v>
      </c>
      <c r="S128">
        <v>10</v>
      </c>
      <c r="T128">
        <v>424</v>
      </c>
      <c r="U128">
        <v>66</v>
      </c>
      <c r="V128">
        <v>37</v>
      </c>
      <c r="W128">
        <v>106</v>
      </c>
    </row>
    <row r="129" spans="1:23" x14ac:dyDescent="0.2">
      <c r="A129" t="s">
        <v>941</v>
      </c>
      <c r="B129" t="s">
        <v>157</v>
      </c>
      <c r="C129">
        <v>28.058883190155029</v>
      </c>
      <c r="D129">
        <v>75</v>
      </c>
      <c r="E129">
        <v>3454</v>
      </c>
      <c r="F129">
        <v>7</v>
      </c>
      <c r="G129">
        <v>4</v>
      </c>
      <c r="H129">
        <v>9</v>
      </c>
      <c r="I129">
        <v>1.1481481481481479</v>
      </c>
      <c r="J129">
        <v>3.875</v>
      </c>
      <c r="K129">
        <v>3.375</v>
      </c>
      <c r="L129">
        <v>24</v>
      </c>
      <c r="M129">
        <v>24</v>
      </c>
      <c r="N129">
        <v>2</v>
      </c>
      <c r="O129">
        <v>5</v>
      </c>
      <c r="P129">
        <v>324</v>
      </c>
      <c r="Q129">
        <v>96</v>
      </c>
      <c r="R129">
        <v>4</v>
      </c>
      <c r="S129">
        <v>11</v>
      </c>
      <c r="T129">
        <v>684</v>
      </c>
      <c r="U129">
        <v>20</v>
      </c>
      <c r="V129">
        <v>864</v>
      </c>
      <c r="W129">
        <v>372</v>
      </c>
    </row>
    <row r="130" spans="1:23" x14ac:dyDescent="0.2">
      <c r="A130" t="s">
        <v>942</v>
      </c>
      <c r="B130" t="s">
        <v>158</v>
      </c>
      <c r="C130" t="s">
        <v>159</v>
      </c>
      <c r="D130" t="s">
        <v>159</v>
      </c>
      <c r="E130" t="s">
        <v>159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  <c r="M130" t="s">
        <v>159</v>
      </c>
      <c r="N130" t="s">
        <v>159</v>
      </c>
      <c r="O130" t="s">
        <v>159</v>
      </c>
      <c r="P130" t="s">
        <v>159</v>
      </c>
      <c r="Q130" t="s">
        <v>159</v>
      </c>
      <c r="R130" t="s">
        <v>159</v>
      </c>
      <c r="S130" t="s">
        <v>159</v>
      </c>
      <c r="T130" t="s">
        <v>159</v>
      </c>
      <c r="U130" t="s">
        <v>159</v>
      </c>
      <c r="V130" t="s">
        <v>159</v>
      </c>
      <c r="W130" t="s">
        <v>159</v>
      </c>
    </row>
    <row r="131" spans="1:23" x14ac:dyDescent="0.2">
      <c r="A131" t="s">
        <v>943</v>
      </c>
      <c r="B131" t="s">
        <v>157</v>
      </c>
      <c r="C131">
        <v>1428.958523035049</v>
      </c>
      <c r="D131">
        <v>22</v>
      </c>
      <c r="E131">
        <v>2669</v>
      </c>
      <c r="F131">
        <v>4</v>
      </c>
      <c r="G131">
        <v>4</v>
      </c>
      <c r="H131">
        <v>141029.84615384621</v>
      </c>
      <c r="I131">
        <v>1.586206896551724</v>
      </c>
      <c r="J131">
        <v>3.5384615384615379</v>
      </c>
      <c r="K131">
        <v>2.2307692307692308</v>
      </c>
      <c r="L131">
        <v>13</v>
      </c>
      <c r="M131">
        <v>2985984</v>
      </c>
      <c r="N131">
        <v>3</v>
      </c>
      <c r="O131">
        <v>3</v>
      </c>
      <c r="P131">
        <v>116</v>
      </c>
      <c r="Q131">
        <v>52</v>
      </c>
      <c r="R131">
        <v>4</v>
      </c>
      <c r="S131">
        <v>12</v>
      </c>
      <c r="T131">
        <v>440</v>
      </c>
      <c r="U131">
        <v>26</v>
      </c>
      <c r="V131">
        <v>7333552</v>
      </c>
      <c r="W131">
        <v>184</v>
      </c>
    </row>
    <row r="132" spans="1:23" x14ac:dyDescent="0.2">
      <c r="A132" t="s">
        <v>944</v>
      </c>
      <c r="B132" t="s">
        <v>158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  <c r="I132" t="s">
        <v>159</v>
      </c>
      <c r="J132" t="s">
        <v>159</v>
      </c>
      <c r="K132" t="s">
        <v>159</v>
      </c>
      <c r="L132" t="s">
        <v>159</v>
      </c>
      <c r="M132" t="s">
        <v>159</v>
      </c>
      <c r="N132" t="s">
        <v>159</v>
      </c>
      <c r="O132" t="s">
        <v>159</v>
      </c>
      <c r="P132" t="s">
        <v>159</v>
      </c>
      <c r="Q132" t="s">
        <v>159</v>
      </c>
      <c r="R132" t="s">
        <v>159</v>
      </c>
      <c r="S132" t="s">
        <v>159</v>
      </c>
      <c r="T132" t="s">
        <v>159</v>
      </c>
      <c r="U132" t="s">
        <v>159</v>
      </c>
      <c r="V132" t="s">
        <v>159</v>
      </c>
      <c r="W132" t="s">
        <v>159</v>
      </c>
    </row>
    <row r="133" spans="1:23" x14ac:dyDescent="0.2">
      <c r="A133" t="s">
        <v>945</v>
      </c>
      <c r="B133" t="s">
        <v>157</v>
      </c>
      <c r="C133">
        <v>2162.5833239555359</v>
      </c>
      <c r="D133">
        <v>2182</v>
      </c>
      <c r="E133">
        <v>3705</v>
      </c>
      <c r="F133">
        <v>10</v>
      </c>
      <c r="G133">
        <v>9</v>
      </c>
      <c r="H133">
        <v>57884043949446.672</v>
      </c>
      <c r="I133">
        <v>1.028846153846154</v>
      </c>
      <c r="J133">
        <v>2.0776699029126209</v>
      </c>
      <c r="K133">
        <v>2.0194174757281549</v>
      </c>
      <c r="L133">
        <v>11.444444444444439</v>
      </c>
      <c r="M133">
        <v>1212982689600000</v>
      </c>
      <c r="N133">
        <v>2</v>
      </c>
      <c r="O133">
        <v>4</v>
      </c>
      <c r="P133">
        <v>208</v>
      </c>
      <c r="Q133">
        <v>103</v>
      </c>
      <c r="R133">
        <v>9</v>
      </c>
      <c r="S133">
        <v>19</v>
      </c>
      <c r="T133">
        <v>1743</v>
      </c>
      <c r="U133">
        <v>144</v>
      </c>
      <c r="V133">
        <v>5962056526793007</v>
      </c>
      <c r="W133">
        <v>214</v>
      </c>
    </row>
    <row r="134" spans="1:23" x14ac:dyDescent="0.2">
      <c r="A134" t="s">
        <v>946</v>
      </c>
      <c r="B134" t="s">
        <v>157</v>
      </c>
      <c r="C134">
        <v>10.682763338088989</v>
      </c>
      <c r="D134">
        <v>275</v>
      </c>
      <c r="E134">
        <v>380</v>
      </c>
      <c r="F134">
        <v>9</v>
      </c>
      <c r="G134">
        <v>8</v>
      </c>
      <c r="H134">
        <v>51.568627450980387</v>
      </c>
      <c r="I134">
        <v>1.0543478260869561</v>
      </c>
      <c r="J134">
        <v>1.9019607843137261</v>
      </c>
      <c r="K134">
        <v>1.803921568627451</v>
      </c>
      <c r="L134">
        <v>6.375</v>
      </c>
      <c r="M134">
        <v>284</v>
      </c>
      <c r="N134">
        <v>2</v>
      </c>
      <c r="O134">
        <v>3</v>
      </c>
      <c r="P134">
        <v>92</v>
      </c>
      <c r="Q134">
        <v>51</v>
      </c>
      <c r="R134">
        <v>8</v>
      </c>
      <c r="S134">
        <v>10</v>
      </c>
      <c r="T134">
        <v>413</v>
      </c>
      <c r="U134">
        <v>62</v>
      </c>
      <c r="V134">
        <v>2630</v>
      </c>
      <c r="W134">
        <v>97</v>
      </c>
    </row>
    <row r="135" spans="1:23" x14ac:dyDescent="0.2">
      <c r="A135" t="s">
        <v>947</v>
      </c>
      <c r="B135" t="s">
        <v>158</v>
      </c>
      <c r="C135" t="s">
        <v>159</v>
      </c>
      <c r="D135" t="s">
        <v>159</v>
      </c>
      <c r="E135" t="s">
        <v>159</v>
      </c>
      <c r="F135" t="s">
        <v>159</v>
      </c>
      <c r="G135" t="s">
        <v>159</v>
      </c>
      <c r="H135" t="s">
        <v>159</v>
      </c>
      <c r="I135" t="s">
        <v>159</v>
      </c>
      <c r="J135" t="s">
        <v>159</v>
      </c>
      <c r="K135" t="s">
        <v>159</v>
      </c>
      <c r="L135" t="s">
        <v>159</v>
      </c>
      <c r="M135" t="s">
        <v>159</v>
      </c>
      <c r="N135" t="s">
        <v>159</v>
      </c>
      <c r="O135" t="s">
        <v>159</v>
      </c>
      <c r="P135" t="s">
        <v>159</v>
      </c>
      <c r="Q135" t="s">
        <v>159</v>
      </c>
      <c r="R135" t="s">
        <v>159</v>
      </c>
      <c r="S135" t="s">
        <v>159</v>
      </c>
      <c r="T135" t="s">
        <v>159</v>
      </c>
      <c r="U135" t="s">
        <v>159</v>
      </c>
      <c r="V135" t="s">
        <v>159</v>
      </c>
      <c r="W135" t="s">
        <v>159</v>
      </c>
    </row>
    <row r="136" spans="1:23" x14ac:dyDescent="0.2">
      <c r="A136" t="s">
        <v>948</v>
      </c>
      <c r="B136" t="s">
        <v>158</v>
      </c>
      <c r="C136" t="s">
        <v>159</v>
      </c>
      <c r="D136" t="s">
        <v>159</v>
      </c>
      <c r="E136" t="s">
        <v>159</v>
      </c>
      <c r="F136" t="s">
        <v>159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  <c r="M136" t="s">
        <v>159</v>
      </c>
      <c r="N136" t="s">
        <v>159</v>
      </c>
      <c r="O136" t="s">
        <v>159</v>
      </c>
      <c r="P136" t="s">
        <v>159</v>
      </c>
      <c r="Q136" t="s">
        <v>159</v>
      </c>
      <c r="R136" t="s">
        <v>159</v>
      </c>
      <c r="S136" t="s">
        <v>159</v>
      </c>
      <c r="T136" t="s">
        <v>159</v>
      </c>
      <c r="U136" t="s">
        <v>159</v>
      </c>
      <c r="V136" t="s">
        <v>159</v>
      </c>
      <c r="W136" t="s">
        <v>159</v>
      </c>
    </row>
    <row r="137" spans="1:23" x14ac:dyDescent="0.2">
      <c r="A137" t="s">
        <v>949</v>
      </c>
      <c r="B137" t="s">
        <v>158</v>
      </c>
      <c r="C137" t="s">
        <v>159</v>
      </c>
      <c r="D137" t="s">
        <v>159</v>
      </c>
      <c r="E137" t="s">
        <v>159</v>
      </c>
      <c r="F137" t="s">
        <v>159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  <c r="N137" t="s">
        <v>159</v>
      </c>
      <c r="O137" t="s">
        <v>159</v>
      </c>
      <c r="P137" t="s">
        <v>159</v>
      </c>
      <c r="Q137" t="s">
        <v>159</v>
      </c>
      <c r="R137" t="s">
        <v>159</v>
      </c>
      <c r="S137" t="s">
        <v>159</v>
      </c>
      <c r="T137" t="s">
        <v>159</v>
      </c>
      <c r="U137" t="s">
        <v>159</v>
      </c>
      <c r="V137" t="s">
        <v>159</v>
      </c>
      <c r="W137" t="s">
        <v>159</v>
      </c>
    </row>
    <row r="138" spans="1:23" x14ac:dyDescent="0.2">
      <c r="A138" t="s">
        <v>950</v>
      </c>
      <c r="B138" t="s">
        <v>157</v>
      </c>
      <c r="C138">
        <v>5.4929001331329346</v>
      </c>
      <c r="D138">
        <v>162</v>
      </c>
      <c r="E138">
        <v>1188</v>
      </c>
      <c r="F138">
        <v>8</v>
      </c>
      <c r="G138">
        <v>6</v>
      </c>
      <c r="H138">
        <v>0</v>
      </c>
      <c r="I138">
        <v>1.0574712643678159</v>
      </c>
      <c r="J138">
        <v>2.875</v>
      </c>
      <c r="K138">
        <v>2.71875</v>
      </c>
      <c r="L138">
        <v>5.333333333333333</v>
      </c>
      <c r="M138">
        <v>0</v>
      </c>
      <c r="N138">
        <v>6</v>
      </c>
      <c r="O138">
        <v>5</v>
      </c>
      <c r="P138">
        <v>87</v>
      </c>
      <c r="Q138">
        <v>32</v>
      </c>
      <c r="R138">
        <v>6</v>
      </c>
      <c r="S138">
        <v>13</v>
      </c>
      <c r="T138">
        <v>324</v>
      </c>
      <c r="U138">
        <v>57</v>
      </c>
      <c r="V138">
        <v>0</v>
      </c>
      <c r="W138">
        <v>92</v>
      </c>
    </row>
    <row r="139" spans="1:23" x14ac:dyDescent="0.2">
      <c r="A139" t="s">
        <v>951</v>
      </c>
      <c r="B139" t="s">
        <v>157</v>
      </c>
      <c r="C139">
        <v>76.335081577301025</v>
      </c>
      <c r="D139">
        <v>897</v>
      </c>
      <c r="E139">
        <v>1084</v>
      </c>
      <c r="F139">
        <v>9</v>
      </c>
      <c r="G139">
        <v>8</v>
      </c>
      <c r="H139">
        <v>0.67441860465116277</v>
      </c>
      <c r="I139">
        <v>1</v>
      </c>
      <c r="J139">
        <v>1.9069767441860459</v>
      </c>
      <c r="K139">
        <v>1.9069767441860459</v>
      </c>
      <c r="L139">
        <v>5.375</v>
      </c>
      <c r="M139">
        <v>7</v>
      </c>
      <c r="N139">
        <v>1</v>
      </c>
      <c r="O139">
        <v>3</v>
      </c>
      <c r="P139">
        <v>82</v>
      </c>
      <c r="Q139">
        <v>43</v>
      </c>
      <c r="R139">
        <v>8</v>
      </c>
      <c r="S139">
        <v>9</v>
      </c>
      <c r="T139">
        <v>305</v>
      </c>
      <c r="U139">
        <v>51</v>
      </c>
      <c r="V139">
        <v>29</v>
      </c>
      <c r="W139">
        <v>82</v>
      </c>
    </row>
    <row r="140" spans="1:23" x14ac:dyDescent="0.2">
      <c r="A140" t="s">
        <v>952</v>
      </c>
      <c r="B140" t="s">
        <v>158</v>
      </c>
      <c r="C140" t="s">
        <v>159</v>
      </c>
      <c r="D140" t="s">
        <v>159</v>
      </c>
      <c r="E140" t="s">
        <v>159</v>
      </c>
      <c r="F140" t="s">
        <v>159</v>
      </c>
      <c r="G140" t="s">
        <v>159</v>
      </c>
      <c r="H140" t="s">
        <v>159</v>
      </c>
      <c r="I140" t="s">
        <v>159</v>
      </c>
      <c r="J140" t="s">
        <v>159</v>
      </c>
      <c r="K140" t="s">
        <v>159</v>
      </c>
      <c r="L140" t="s">
        <v>159</v>
      </c>
      <c r="M140" t="s">
        <v>159</v>
      </c>
      <c r="N140" t="s">
        <v>159</v>
      </c>
      <c r="O140" t="s">
        <v>159</v>
      </c>
      <c r="P140" t="s">
        <v>159</v>
      </c>
      <c r="Q140" t="s">
        <v>159</v>
      </c>
      <c r="R140" t="s">
        <v>159</v>
      </c>
      <c r="S140" t="s">
        <v>159</v>
      </c>
      <c r="T140" t="s">
        <v>159</v>
      </c>
      <c r="U140" t="s">
        <v>159</v>
      </c>
      <c r="V140" t="s">
        <v>159</v>
      </c>
      <c r="W140" t="s">
        <v>159</v>
      </c>
    </row>
    <row r="141" spans="1:23" x14ac:dyDescent="0.2">
      <c r="A141" t="s">
        <v>953</v>
      </c>
      <c r="B141" t="s">
        <v>157</v>
      </c>
      <c r="C141">
        <v>1609.266900777817</v>
      </c>
      <c r="D141">
        <v>2535</v>
      </c>
      <c r="E141">
        <v>4285</v>
      </c>
      <c r="F141">
        <v>10</v>
      </c>
      <c r="G141">
        <v>9</v>
      </c>
      <c r="H141">
        <v>0.69811320754716977</v>
      </c>
      <c r="I141">
        <v>1</v>
      </c>
      <c r="J141">
        <v>2</v>
      </c>
      <c r="K141">
        <v>2</v>
      </c>
      <c r="L141">
        <v>5.8888888888888893</v>
      </c>
      <c r="M141">
        <v>8</v>
      </c>
      <c r="N141">
        <v>1</v>
      </c>
      <c r="O141">
        <v>3</v>
      </c>
      <c r="P141">
        <v>106</v>
      </c>
      <c r="Q141">
        <v>53</v>
      </c>
      <c r="R141">
        <v>9</v>
      </c>
      <c r="S141">
        <v>10</v>
      </c>
      <c r="T141">
        <v>424</v>
      </c>
      <c r="U141">
        <v>66</v>
      </c>
      <c r="V141">
        <v>37</v>
      </c>
      <c r="W141">
        <v>106</v>
      </c>
    </row>
    <row r="142" spans="1:23" x14ac:dyDescent="0.2">
      <c r="A142" t="s">
        <v>954</v>
      </c>
      <c r="B142" t="s">
        <v>157</v>
      </c>
      <c r="C142">
        <v>5.0262374877929688</v>
      </c>
      <c r="D142">
        <v>167</v>
      </c>
      <c r="E142">
        <v>1529</v>
      </c>
      <c r="F142">
        <v>8</v>
      </c>
      <c r="G142">
        <v>6</v>
      </c>
      <c r="H142">
        <v>0</v>
      </c>
      <c r="I142">
        <v>1.060240963855422</v>
      </c>
      <c r="J142">
        <v>2.75</v>
      </c>
      <c r="K142">
        <v>2.59375</v>
      </c>
      <c r="L142">
        <v>5.333333333333333</v>
      </c>
      <c r="M142">
        <v>0</v>
      </c>
      <c r="N142">
        <v>6</v>
      </c>
      <c r="O142">
        <v>5</v>
      </c>
      <c r="P142">
        <v>83</v>
      </c>
      <c r="Q142">
        <v>32</v>
      </c>
      <c r="R142">
        <v>6</v>
      </c>
      <c r="S142">
        <v>13</v>
      </c>
      <c r="T142">
        <v>328</v>
      </c>
      <c r="U142">
        <v>57</v>
      </c>
      <c r="V142">
        <v>0</v>
      </c>
      <c r="W142">
        <v>88</v>
      </c>
    </row>
    <row r="143" spans="1:23" x14ac:dyDescent="0.2">
      <c r="A143" t="s">
        <v>955</v>
      </c>
      <c r="B143" t="s">
        <v>158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</row>
    <row r="144" spans="1:23" x14ac:dyDescent="0.2">
      <c r="A144" t="s">
        <v>956</v>
      </c>
      <c r="B144" t="s">
        <v>157</v>
      </c>
      <c r="C144">
        <v>2721.8549392223358</v>
      </c>
      <c r="D144">
        <v>472</v>
      </c>
      <c r="E144">
        <v>5856</v>
      </c>
      <c r="F144">
        <v>7</v>
      </c>
      <c r="G144">
        <v>6</v>
      </c>
      <c r="H144">
        <v>7.1428571428571425E-2</v>
      </c>
      <c r="I144">
        <v>1.1851851851851849</v>
      </c>
      <c r="J144">
        <v>2.285714285714286</v>
      </c>
      <c r="K144">
        <v>1.928571428571429</v>
      </c>
      <c r="L144">
        <v>4.666666666666667</v>
      </c>
      <c r="M144">
        <v>1</v>
      </c>
      <c r="N144">
        <v>5</v>
      </c>
      <c r="O144">
        <v>4</v>
      </c>
      <c r="P144">
        <v>54</v>
      </c>
      <c r="Q144">
        <v>28</v>
      </c>
      <c r="R144">
        <v>6</v>
      </c>
      <c r="S144">
        <v>11</v>
      </c>
      <c r="T144">
        <v>244</v>
      </c>
      <c r="U144">
        <v>48</v>
      </c>
      <c r="V144">
        <v>2</v>
      </c>
      <c r="W144">
        <v>64</v>
      </c>
    </row>
    <row r="145" spans="1:23" x14ac:dyDescent="0.2">
      <c r="A145" t="s">
        <v>957</v>
      </c>
      <c r="B145" t="s">
        <v>157</v>
      </c>
      <c r="C145">
        <v>472.6202712059021</v>
      </c>
      <c r="D145">
        <v>223</v>
      </c>
      <c r="E145">
        <v>1402</v>
      </c>
      <c r="F145">
        <v>6</v>
      </c>
      <c r="G145">
        <v>4</v>
      </c>
      <c r="H145">
        <v>390.48888888888888</v>
      </c>
      <c r="I145">
        <v>1.8431372549019609</v>
      </c>
      <c r="J145">
        <v>4.177777777777778</v>
      </c>
      <c r="K145">
        <v>2.2666666666666671</v>
      </c>
      <c r="L145">
        <v>11.25</v>
      </c>
      <c r="M145">
        <v>5184</v>
      </c>
      <c r="N145">
        <v>4</v>
      </c>
      <c r="O145">
        <v>4</v>
      </c>
      <c r="P145">
        <v>102</v>
      </c>
      <c r="Q145">
        <v>45</v>
      </c>
      <c r="R145">
        <v>4</v>
      </c>
      <c r="S145">
        <v>14</v>
      </c>
      <c r="T145">
        <v>442</v>
      </c>
      <c r="U145">
        <v>31</v>
      </c>
      <c r="V145">
        <v>17572</v>
      </c>
      <c r="W145">
        <v>188</v>
      </c>
    </row>
    <row r="146" spans="1:23" x14ac:dyDescent="0.2">
      <c r="A146" t="s">
        <v>958</v>
      </c>
      <c r="B146" t="s">
        <v>157</v>
      </c>
      <c r="C146">
        <v>36.078350782394409</v>
      </c>
      <c r="D146">
        <v>572</v>
      </c>
      <c r="E146">
        <v>7197</v>
      </c>
      <c r="F146">
        <v>7</v>
      </c>
      <c r="G146">
        <v>6</v>
      </c>
      <c r="H146">
        <v>3.125E-2</v>
      </c>
      <c r="I146">
        <v>1</v>
      </c>
      <c r="J146">
        <v>2.5625</v>
      </c>
      <c r="K146">
        <v>2.5625</v>
      </c>
      <c r="L146">
        <v>5.333333333333333</v>
      </c>
      <c r="M146">
        <v>1</v>
      </c>
      <c r="N146">
        <v>1</v>
      </c>
      <c r="O146">
        <v>5</v>
      </c>
      <c r="P146">
        <v>82</v>
      </c>
      <c r="Q146">
        <v>32</v>
      </c>
      <c r="R146">
        <v>6</v>
      </c>
      <c r="S146">
        <v>7</v>
      </c>
      <c r="T146">
        <v>142</v>
      </c>
      <c r="U146">
        <v>23</v>
      </c>
      <c r="V146">
        <v>1</v>
      </c>
      <c r="W146">
        <v>82</v>
      </c>
    </row>
    <row r="147" spans="1:23" x14ac:dyDescent="0.2">
      <c r="A147" t="s">
        <v>959</v>
      </c>
      <c r="B147" t="s">
        <v>157</v>
      </c>
      <c r="C147">
        <v>61.438643217086792</v>
      </c>
      <c r="D147">
        <v>757</v>
      </c>
      <c r="E147">
        <v>806</v>
      </c>
      <c r="F147">
        <v>9</v>
      </c>
      <c r="G147">
        <v>8</v>
      </c>
      <c r="H147">
        <v>0.67441860465116277</v>
      </c>
      <c r="I147">
        <v>1</v>
      </c>
      <c r="J147">
        <v>1.9069767441860459</v>
      </c>
      <c r="K147">
        <v>1.9069767441860459</v>
      </c>
      <c r="L147">
        <v>5.375</v>
      </c>
      <c r="M147">
        <v>7</v>
      </c>
      <c r="N147">
        <v>1</v>
      </c>
      <c r="O147">
        <v>3</v>
      </c>
      <c r="P147">
        <v>82</v>
      </c>
      <c r="Q147">
        <v>43</v>
      </c>
      <c r="R147">
        <v>8</v>
      </c>
      <c r="S147">
        <v>9</v>
      </c>
      <c r="T147">
        <v>305</v>
      </c>
      <c r="U147">
        <v>51</v>
      </c>
      <c r="V147">
        <v>29</v>
      </c>
      <c r="W147">
        <v>82</v>
      </c>
    </row>
    <row r="148" spans="1:23" x14ac:dyDescent="0.2">
      <c r="A148" t="s">
        <v>960</v>
      </c>
      <c r="B148" t="s">
        <v>157</v>
      </c>
      <c r="C148">
        <v>103.4663965702057</v>
      </c>
      <c r="D148">
        <v>910</v>
      </c>
      <c r="E148">
        <v>1270</v>
      </c>
      <c r="F148">
        <v>9</v>
      </c>
      <c r="G148">
        <v>8</v>
      </c>
      <c r="H148">
        <v>0.67441860465116277</v>
      </c>
      <c r="I148">
        <v>1</v>
      </c>
      <c r="J148">
        <v>1.9069767441860459</v>
      </c>
      <c r="K148">
        <v>1.9069767441860459</v>
      </c>
      <c r="L148">
        <v>5.375</v>
      </c>
      <c r="M148">
        <v>7</v>
      </c>
      <c r="N148">
        <v>1</v>
      </c>
      <c r="O148">
        <v>3</v>
      </c>
      <c r="P148">
        <v>82</v>
      </c>
      <c r="Q148">
        <v>43</v>
      </c>
      <c r="R148">
        <v>8</v>
      </c>
      <c r="S148">
        <v>9</v>
      </c>
      <c r="T148">
        <v>305</v>
      </c>
      <c r="U148">
        <v>51</v>
      </c>
      <c r="V148">
        <v>29</v>
      </c>
      <c r="W148">
        <v>82</v>
      </c>
    </row>
    <row r="149" spans="1:23" x14ac:dyDescent="0.2">
      <c r="A149" t="s">
        <v>961</v>
      </c>
      <c r="B149" t="s">
        <v>158</v>
      </c>
      <c r="C149" t="s">
        <v>159</v>
      </c>
      <c r="D149" t="s">
        <v>159</v>
      </c>
      <c r="E149" t="s">
        <v>159</v>
      </c>
      <c r="F149" t="s">
        <v>159</v>
      </c>
      <c r="G149" t="s">
        <v>159</v>
      </c>
      <c r="H149" t="s">
        <v>159</v>
      </c>
      <c r="I149" t="s">
        <v>159</v>
      </c>
      <c r="J149" t="s">
        <v>159</v>
      </c>
      <c r="K149" t="s">
        <v>159</v>
      </c>
      <c r="L149" t="s">
        <v>159</v>
      </c>
      <c r="M149" t="s">
        <v>159</v>
      </c>
      <c r="N149" t="s">
        <v>159</v>
      </c>
      <c r="O149" t="s">
        <v>159</v>
      </c>
      <c r="P149" t="s">
        <v>159</v>
      </c>
      <c r="Q149" t="s">
        <v>159</v>
      </c>
      <c r="R149" t="s">
        <v>159</v>
      </c>
      <c r="S149" t="s">
        <v>159</v>
      </c>
      <c r="T149" t="s">
        <v>159</v>
      </c>
      <c r="U149" t="s">
        <v>159</v>
      </c>
      <c r="V149" t="s">
        <v>159</v>
      </c>
      <c r="W149" t="s">
        <v>159</v>
      </c>
    </row>
    <row r="150" spans="1:23" x14ac:dyDescent="0.2">
      <c r="A150" t="s">
        <v>962</v>
      </c>
      <c r="B150" t="s">
        <v>157</v>
      </c>
      <c r="C150">
        <v>664.31968069076538</v>
      </c>
      <c r="D150">
        <v>1017</v>
      </c>
      <c r="E150">
        <v>1321</v>
      </c>
      <c r="F150">
        <v>9</v>
      </c>
      <c r="G150">
        <v>8</v>
      </c>
      <c r="H150">
        <v>0.67441860465116277</v>
      </c>
      <c r="I150">
        <v>1</v>
      </c>
      <c r="J150">
        <v>1.9069767441860459</v>
      </c>
      <c r="K150">
        <v>1.9069767441860459</v>
      </c>
      <c r="L150">
        <v>5.375</v>
      </c>
      <c r="M150">
        <v>7</v>
      </c>
      <c r="N150">
        <v>1</v>
      </c>
      <c r="O150">
        <v>3</v>
      </c>
      <c r="P150">
        <v>82</v>
      </c>
      <c r="Q150">
        <v>43</v>
      </c>
      <c r="R150">
        <v>8</v>
      </c>
      <c r="S150">
        <v>9</v>
      </c>
      <c r="T150">
        <v>305</v>
      </c>
      <c r="U150">
        <v>51</v>
      </c>
      <c r="V150">
        <v>29</v>
      </c>
      <c r="W150">
        <v>82</v>
      </c>
    </row>
    <row r="151" spans="1:23" x14ac:dyDescent="0.2">
      <c r="A151" t="s">
        <v>963</v>
      </c>
      <c r="B151" t="s">
        <v>158</v>
      </c>
      <c r="C151" t="s">
        <v>159</v>
      </c>
      <c r="D151" t="s">
        <v>159</v>
      </c>
      <c r="E151" t="s">
        <v>159</v>
      </c>
      <c r="F151" t="s">
        <v>159</v>
      </c>
      <c r="G151" t="s">
        <v>159</v>
      </c>
      <c r="H151" t="s">
        <v>159</v>
      </c>
      <c r="I151" t="s">
        <v>159</v>
      </c>
      <c r="J151" t="s">
        <v>159</v>
      </c>
      <c r="K151" t="s">
        <v>159</v>
      </c>
      <c r="L151" t="s">
        <v>159</v>
      </c>
      <c r="M151" t="s">
        <v>159</v>
      </c>
      <c r="N151" t="s">
        <v>159</v>
      </c>
      <c r="O151" t="s">
        <v>159</v>
      </c>
      <c r="P151" t="s">
        <v>159</v>
      </c>
      <c r="Q151" t="s">
        <v>159</v>
      </c>
      <c r="R151" t="s">
        <v>159</v>
      </c>
      <c r="S151" t="s">
        <v>159</v>
      </c>
      <c r="T151" t="s">
        <v>159</v>
      </c>
      <c r="U151" t="s">
        <v>159</v>
      </c>
      <c r="V151" t="s">
        <v>159</v>
      </c>
      <c r="W151" t="s">
        <v>159</v>
      </c>
    </row>
    <row r="152" spans="1:23" x14ac:dyDescent="0.2">
      <c r="A152" t="s">
        <v>964</v>
      </c>
      <c r="B152" t="s">
        <v>157</v>
      </c>
      <c r="C152">
        <v>255.80913496017459</v>
      </c>
      <c r="D152">
        <v>871</v>
      </c>
      <c r="E152">
        <v>10822</v>
      </c>
      <c r="F152">
        <v>7</v>
      </c>
      <c r="G152">
        <v>6</v>
      </c>
      <c r="H152">
        <v>3.125E-2</v>
      </c>
      <c r="I152">
        <v>1</v>
      </c>
      <c r="J152">
        <v>2.6875</v>
      </c>
      <c r="K152">
        <v>2.6875</v>
      </c>
      <c r="L152">
        <v>5.333333333333333</v>
      </c>
      <c r="M152">
        <v>1</v>
      </c>
      <c r="N152">
        <v>1</v>
      </c>
      <c r="O152">
        <v>5</v>
      </c>
      <c r="P152">
        <v>86</v>
      </c>
      <c r="Q152">
        <v>32</v>
      </c>
      <c r="R152">
        <v>6</v>
      </c>
      <c r="S152">
        <v>7</v>
      </c>
      <c r="T152">
        <v>138</v>
      </c>
      <c r="U152">
        <v>23</v>
      </c>
      <c r="V152">
        <v>1</v>
      </c>
      <c r="W152">
        <v>86</v>
      </c>
    </row>
    <row r="153" spans="1:23" x14ac:dyDescent="0.2">
      <c r="A153" t="s">
        <v>965</v>
      </c>
      <c r="B153" t="s">
        <v>158</v>
      </c>
      <c r="C153" t="s">
        <v>159</v>
      </c>
      <c r="D153" t="s">
        <v>159</v>
      </c>
      <c r="E153" t="s">
        <v>159</v>
      </c>
      <c r="F153" t="s">
        <v>159</v>
      </c>
      <c r="G153" t="s">
        <v>159</v>
      </c>
      <c r="H153" t="s">
        <v>159</v>
      </c>
      <c r="I153" t="s">
        <v>159</v>
      </c>
      <c r="J153" t="s">
        <v>159</v>
      </c>
      <c r="K153" t="s">
        <v>159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  <c r="T153" t="s">
        <v>159</v>
      </c>
      <c r="U153" t="s">
        <v>159</v>
      </c>
      <c r="V153" t="s">
        <v>159</v>
      </c>
      <c r="W153" t="s">
        <v>159</v>
      </c>
    </row>
    <row r="154" spans="1:23" x14ac:dyDescent="0.2">
      <c r="A154" t="s">
        <v>966</v>
      </c>
      <c r="B154" t="s">
        <v>157</v>
      </c>
      <c r="C154">
        <v>10.07668709754944</v>
      </c>
      <c r="D154">
        <v>275</v>
      </c>
      <c r="E154">
        <v>381</v>
      </c>
      <c r="F154">
        <v>9</v>
      </c>
      <c r="G154">
        <v>8</v>
      </c>
      <c r="H154">
        <v>130.11764705882351</v>
      </c>
      <c r="I154">
        <v>1.0543478260869561</v>
      </c>
      <c r="J154">
        <v>1.9019607843137261</v>
      </c>
      <c r="K154">
        <v>1.803921568627451</v>
      </c>
      <c r="L154">
        <v>6.375</v>
      </c>
      <c r="M154">
        <v>1056</v>
      </c>
      <c r="N154">
        <v>2</v>
      </c>
      <c r="O154">
        <v>3</v>
      </c>
      <c r="P154">
        <v>92</v>
      </c>
      <c r="Q154">
        <v>51</v>
      </c>
      <c r="R154">
        <v>8</v>
      </c>
      <c r="S154">
        <v>10</v>
      </c>
      <c r="T154">
        <v>413</v>
      </c>
      <c r="U154">
        <v>62</v>
      </c>
      <c r="V154">
        <v>6636</v>
      </c>
      <c r="W154">
        <v>97</v>
      </c>
    </row>
    <row r="155" spans="1:23" x14ac:dyDescent="0.2">
      <c r="A155" t="s">
        <v>967</v>
      </c>
      <c r="B155" t="s">
        <v>157</v>
      </c>
      <c r="C155">
        <v>9.8216440677642822</v>
      </c>
      <c r="D155">
        <v>220</v>
      </c>
      <c r="E155">
        <v>2052</v>
      </c>
      <c r="F155">
        <v>8</v>
      </c>
      <c r="G155">
        <v>6</v>
      </c>
      <c r="H155">
        <v>0</v>
      </c>
      <c r="I155">
        <v>1.060240963855422</v>
      </c>
      <c r="J155">
        <v>2.75</v>
      </c>
      <c r="K155">
        <v>2.59375</v>
      </c>
      <c r="L155">
        <v>5.333333333333333</v>
      </c>
      <c r="M155">
        <v>0</v>
      </c>
      <c r="N155">
        <v>6</v>
      </c>
      <c r="O155">
        <v>5</v>
      </c>
      <c r="P155">
        <v>83</v>
      </c>
      <c r="Q155">
        <v>32</v>
      </c>
      <c r="R155">
        <v>6</v>
      </c>
      <c r="S155">
        <v>13</v>
      </c>
      <c r="T155">
        <v>328</v>
      </c>
      <c r="U155">
        <v>57</v>
      </c>
      <c r="V155">
        <v>0</v>
      </c>
      <c r="W155">
        <v>88</v>
      </c>
    </row>
    <row r="156" spans="1:23" x14ac:dyDescent="0.2">
      <c r="A156" t="s">
        <v>968</v>
      </c>
      <c r="B156" t="s">
        <v>157</v>
      </c>
      <c r="C156">
        <v>124.8178684711456</v>
      </c>
      <c r="D156">
        <v>681</v>
      </c>
      <c r="E156">
        <v>13932</v>
      </c>
      <c r="F156">
        <v>7</v>
      </c>
      <c r="G156">
        <v>6</v>
      </c>
      <c r="H156">
        <v>3.125E-2</v>
      </c>
      <c r="I156">
        <v>1</v>
      </c>
      <c r="J156">
        <v>2.75</v>
      </c>
      <c r="K156">
        <v>2.75</v>
      </c>
      <c r="L156">
        <v>5.333333333333333</v>
      </c>
      <c r="M156">
        <v>1</v>
      </c>
      <c r="N156">
        <v>1</v>
      </c>
      <c r="O156">
        <v>5</v>
      </c>
      <c r="P156">
        <v>88</v>
      </c>
      <c r="Q156">
        <v>32</v>
      </c>
      <c r="R156">
        <v>6</v>
      </c>
      <c r="S156">
        <v>7</v>
      </c>
      <c r="T156">
        <v>136</v>
      </c>
      <c r="U156">
        <v>23</v>
      </c>
      <c r="V156">
        <v>1</v>
      </c>
      <c r="W156">
        <v>88</v>
      </c>
    </row>
    <row r="157" spans="1:23" x14ac:dyDescent="0.2">
      <c r="A157" t="s">
        <v>969</v>
      </c>
      <c r="B157" t="s">
        <v>158</v>
      </c>
      <c r="C157" t="s">
        <v>159</v>
      </c>
      <c r="D157" t="s">
        <v>159</v>
      </c>
      <c r="E157" t="s">
        <v>159</v>
      </c>
      <c r="F157" t="s">
        <v>159</v>
      </c>
      <c r="G157" t="s">
        <v>159</v>
      </c>
      <c r="H157" t="s">
        <v>159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  <c r="O157" t="s">
        <v>159</v>
      </c>
      <c r="P157" t="s">
        <v>159</v>
      </c>
      <c r="Q157" t="s">
        <v>159</v>
      </c>
      <c r="R157" t="s">
        <v>159</v>
      </c>
      <c r="S157" t="s">
        <v>159</v>
      </c>
      <c r="T157" t="s">
        <v>159</v>
      </c>
      <c r="U157" t="s">
        <v>159</v>
      </c>
      <c r="V157" t="s">
        <v>159</v>
      </c>
      <c r="W157" t="s">
        <v>159</v>
      </c>
    </row>
    <row r="158" spans="1:23" x14ac:dyDescent="0.2">
      <c r="A158" t="s">
        <v>970</v>
      </c>
      <c r="B158" t="s">
        <v>157</v>
      </c>
      <c r="C158">
        <v>10.0670702457428</v>
      </c>
      <c r="D158">
        <v>275</v>
      </c>
      <c r="E158">
        <v>381</v>
      </c>
      <c r="F158">
        <v>9</v>
      </c>
      <c r="G158">
        <v>8</v>
      </c>
      <c r="H158">
        <v>51.529411764705891</v>
      </c>
      <c r="I158">
        <v>1.0543478260869561</v>
      </c>
      <c r="J158">
        <v>1.9019607843137261</v>
      </c>
      <c r="K158">
        <v>1.803921568627451</v>
      </c>
      <c r="L158">
        <v>6.375</v>
      </c>
      <c r="M158">
        <v>284</v>
      </c>
      <c r="N158">
        <v>2</v>
      </c>
      <c r="O158">
        <v>3</v>
      </c>
      <c r="P158">
        <v>92</v>
      </c>
      <c r="Q158">
        <v>51</v>
      </c>
      <c r="R158">
        <v>8</v>
      </c>
      <c r="S158">
        <v>10</v>
      </c>
      <c r="T158">
        <v>413</v>
      </c>
      <c r="U158">
        <v>62</v>
      </c>
      <c r="V158">
        <v>2628</v>
      </c>
      <c r="W158">
        <v>97</v>
      </c>
    </row>
    <row r="159" spans="1:23" x14ac:dyDescent="0.2">
      <c r="A159" t="s">
        <v>971</v>
      </c>
      <c r="B159" t="s">
        <v>157</v>
      </c>
      <c r="C159">
        <v>210.28068923950201</v>
      </c>
      <c r="D159">
        <v>443</v>
      </c>
      <c r="E159">
        <v>2019</v>
      </c>
      <c r="F159">
        <v>7</v>
      </c>
      <c r="G159">
        <v>6</v>
      </c>
      <c r="H159">
        <v>6.25E-2</v>
      </c>
      <c r="I159">
        <v>0.9850746268656716</v>
      </c>
      <c r="J159">
        <v>2.0625</v>
      </c>
      <c r="K159">
        <v>2.09375</v>
      </c>
      <c r="L159">
        <v>5.333333333333333</v>
      </c>
      <c r="M159">
        <v>1</v>
      </c>
      <c r="N159">
        <v>1</v>
      </c>
      <c r="O159">
        <v>4</v>
      </c>
      <c r="P159">
        <v>67</v>
      </c>
      <c r="Q159">
        <v>32</v>
      </c>
      <c r="R159">
        <v>6</v>
      </c>
      <c r="S159">
        <v>6</v>
      </c>
      <c r="T159">
        <v>126</v>
      </c>
      <c r="U159">
        <v>20</v>
      </c>
      <c r="V159">
        <v>2</v>
      </c>
      <c r="W159">
        <v>66</v>
      </c>
    </row>
    <row r="160" spans="1:23" x14ac:dyDescent="0.2">
      <c r="A160" t="s">
        <v>972</v>
      </c>
      <c r="B160" t="s">
        <v>157</v>
      </c>
      <c r="C160">
        <v>62.130703687667847</v>
      </c>
      <c r="D160">
        <v>655</v>
      </c>
      <c r="E160">
        <v>8854</v>
      </c>
      <c r="F160">
        <v>7</v>
      </c>
      <c r="G160">
        <v>6</v>
      </c>
      <c r="H160">
        <v>3.125E-2</v>
      </c>
      <c r="I160">
        <v>1</v>
      </c>
      <c r="J160">
        <v>2.5625</v>
      </c>
      <c r="K160">
        <v>2.5625</v>
      </c>
      <c r="L160">
        <v>5.333333333333333</v>
      </c>
      <c r="M160">
        <v>1</v>
      </c>
      <c r="N160">
        <v>1</v>
      </c>
      <c r="O160">
        <v>5</v>
      </c>
      <c r="P160">
        <v>82</v>
      </c>
      <c r="Q160">
        <v>32</v>
      </c>
      <c r="R160">
        <v>6</v>
      </c>
      <c r="S160">
        <v>7</v>
      </c>
      <c r="T160">
        <v>142</v>
      </c>
      <c r="U160">
        <v>23</v>
      </c>
      <c r="V160">
        <v>1</v>
      </c>
      <c r="W160">
        <v>82</v>
      </c>
    </row>
    <row r="161" spans="1:23" x14ac:dyDescent="0.2">
      <c r="A161" t="s">
        <v>973</v>
      </c>
      <c r="B161" t="s">
        <v>158</v>
      </c>
      <c r="C161" t="s">
        <v>159</v>
      </c>
      <c r="D161" t="s">
        <v>159</v>
      </c>
      <c r="E161" t="s">
        <v>159</v>
      </c>
      <c r="F161" t="s">
        <v>159</v>
      </c>
      <c r="G161" t="s">
        <v>159</v>
      </c>
      <c r="H161" t="s">
        <v>159</v>
      </c>
      <c r="I161" t="s">
        <v>159</v>
      </c>
      <c r="J161" t="s">
        <v>159</v>
      </c>
      <c r="K161" t="s">
        <v>159</v>
      </c>
      <c r="L161" t="s">
        <v>159</v>
      </c>
      <c r="M161" t="s">
        <v>159</v>
      </c>
      <c r="N161" t="s">
        <v>159</v>
      </c>
      <c r="O161" t="s">
        <v>159</v>
      </c>
      <c r="P161" t="s">
        <v>159</v>
      </c>
      <c r="Q161" t="s">
        <v>159</v>
      </c>
      <c r="R161" t="s">
        <v>159</v>
      </c>
      <c r="S161" t="s">
        <v>159</v>
      </c>
      <c r="T161" t="s">
        <v>159</v>
      </c>
      <c r="U161" t="s">
        <v>159</v>
      </c>
      <c r="V161" t="s">
        <v>159</v>
      </c>
      <c r="W161" t="s">
        <v>159</v>
      </c>
    </row>
    <row r="162" spans="1:23" x14ac:dyDescent="0.2">
      <c r="A162" t="s">
        <v>974</v>
      </c>
      <c r="B162" t="s">
        <v>158</v>
      </c>
      <c r="C162" t="s">
        <v>159</v>
      </c>
      <c r="D162" t="s">
        <v>159</v>
      </c>
      <c r="E162" t="s">
        <v>159</v>
      </c>
      <c r="F162" t="s">
        <v>159</v>
      </c>
      <c r="G162" t="s">
        <v>159</v>
      </c>
      <c r="H162" t="s">
        <v>159</v>
      </c>
      <c r="I162" t="s">
        <v>159</v>
      </c>
      <c r="J162" t="s">
        <v>159</v>
      </c>
      <c r="K162" t="s">
        <v>159</v>
      </c>
      <c r="L162" t="s">
        <v>159</v>
      </c>
      <c r="M162" t="s">
        <v>159</v>
      </c>
      <c r="N162" t="s">
        <v>159</v>
      </c>
      <c r="O162" t="s">
        <v>159</v>
      </c>
      <c r="P162" t="s">
        <v>159</v>
      </c>
      <c r="Q162" t="s">
        <v>159</v>
      </c>
      <c r="R162" t="s">
        <v>159</v>
      </c>
      <c r="S162" t="s">
        <v>159</v>
      </c>
      <c r="T162" t="s">
        <v>159</v>
      </c>
      <c r="U162" t="s">
        <v>159</v>
      </c>
      <c r="V162" t="s">
        <v>159</v>
      </c>
      <c r="W162" t="s">
        <v>159</v>
      </c>
    </row>
    <row r="163" spans="1:23" x14ac:dyDescent="0.2">
      <c r="A163" t="s">
        <v>975</v>
      </c>
      <c r="B163" t="s">
        <v>157</v>
      </c>
      <c r="C163">
        <v>65.446799278259277</v>
      </c>
      <c r="D163">
        <v>622</v>
      </c>
      <c r="E163">
        <v>9464</v>
      </c>
      <c r="F163">
        <v>7</v>
      </c>
      <c r="G163">
        <v>6</v>
      </c>
      <c r="H163">
        <v>3.125E-2</v>
      </c>
      <c r="I163">
        <v>1</v>
      </c>
      <c r="J163">
        <v>2.75</v>
      </c>
      <c r="K163">
        <v>2.75</v>
      </c>
      <c r="L163">
        <v>5.333333333333333</v>
      </c>
      <c r="M163">
        <v>1</v>
      </c>
      <c r="N163">
        <v>1</v>
      </c>
      <c r="O163">
        <v>5</v>
      </c>
      <c r="P163">
        <v>88</v>
      </c>
      <c r="Q163">
        <v>32</v>
      </c>
      <c r="R163">
        <v>6</v>
      </c>
      <c r="S163">
        <v>7</v>
      </c>
      <c r="T163">
        <v>136</v>
      </c>
      <c r="U163">
        <v>23</v>
      </c>
      <c r="V163">
        <v>1</v>
      </c>
      <c r="W163">
        <v>88</v>
      </c>
    </row>
    <row r="164" spans="1:23" x14ac:dyDescent="0.2">
      <c r="A164" t="s">
        <v>976</v>
      </c>
      <c r="B164" t="s">
        <v>157</v>
      </c>
      <c r="C164">
        <v>6.1147263050079346</v>
      </c>
      <c r="D164">
        <v>283</v>
      </c>
      <c r="E164">
        <v>188</v>
      </c>
      <c r="F164">
        <v>8</v>
      </c>
      <c r="G164">
        <v>7</v>
      </c>
      <c r="H164">
        <v>0.6470588235294118</v>
      </c>
      <c r="I164">
        <v>1</v>
      </c>
      <c r="J164">
        <v>1.794117647058824</v>
      </c>
      <c r="K164">
        <v>1.794117647058824</v>
      </c>
      <c r="L164">
        <v>4.8571428571428568</v>
      </c>
      <c r="M164">
        <v>6</v>
      </c>
      <c r="N164">
        <v>1</v>
      </c>
      <c r="O164">
        <v>3</v>
      </c>
      <c r="P164">
        <v>61</v>
      </c>
      <c r="Q164">
        <v>34</v>
      </c>
      <c r="R164">
        <v>7</v>
      </c>
      <c r="S164">
        <v>8</v>
      </c>
      <c r="T164">
        <v>211</v>
      </c>
      <c r="U164">
        <v>38</v>
      </c>
      <c r="V164">
        <v>22</v>
      </c>
      <c r="W164">
        <v>61</v>
      </c>
    </row>
    <row r="165" spans="1:23" x14ac:dyDescent="0.2">
      <c r="A165" t="s">
        <v>977</v>
      </c>
      <c r="B165" t="s">
        <v>157</v>
      </c>
      <c r="C165">
        <v>6.0618951320648193</v>
      </c>
      <c r="D165">
        <v>300</v>
      </c>
      <c r="E165">
        <v>184</v>
      </c>
      <c r="F165">
        <v>8</v>
      </c>
      <c r="G165">
        <v>7</v>
      </c>
      <c r="H165">
        <v>0.6470588235294118</v>
      </c>
      <c r="I165">
        <v>1</v>
      </c>
      <c r="J165">
        <v>1.794117647058824</v>
      </c>
      <c r="K165">
        <v>1.794117647058824</v>
      </c>
      <c r="L165">
        <v>4.8571428571428568</v>
      </c>
      <c r="M165">
        <v>6</v>
      </c>
      <c r="N165">
        <v>1</v>
      </c>
      <c r="O165">
        <v>3</v>
      </c>
      <c r="P165">
        <v>61</v>
      </c>
      <c r="Q165">
        <v>34</v>
      </c>
      <c r="R165">
        <v>7</v>
      </c>
      <c r="S165">
        <v>8</v>
      </c>
      <c r="T165">
        <v>211</v>
      </c>
      <c r="U165">
        <v>38</v>
      </c>
      <c r="V165">
        <v>22</v>
      </c>
      <c r="W165">
        <v>61</v>
      </c>
    </row>
    <row r="166" spans="1:23" x14ac:dyDescent="0.2">
      <c r="A166" t="s">
        <v>978</v>
      </c>
      <c r="B166" t="s">
        <v>158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  <c r="I166" t="s">
        <v>159</v>
      </c>
      <c r="J166" t="s">
        <v>159</v>
      </c>
      <c r="K166" t="s">
        <v>159</v>
      </c>
      <c r="L166" t="s">
        <v>159</v>
      </c>
      <c r="M166" t="s">
        <v>159</v>
      </c>
      <c r="N166" t="s">
        <v>159</v>
      </c>
      <c r="O166" t="s">
        <v>159</v>
      </c>
      <c r="P166" t="s">
        <v>159</v>
      </c>
      <c r="Q166" t="s">
        <v>159</v>
      </c>
      <c r="R166" t="s">
        <v>159</v>
      </c>
      <c r="S166" t="s">
        <v>159</v>
      </c>
      <c r="T166" t="s">
        <v>159</v>
      </c>
      <c r="U166" t="s">
        <v>159</v>
      </c>
      <c r="V166" t="s">
        <v>159</v>
      </c>
      <c r="W166" t="s">
        <v>159</v>
      </c>
    </row>
    <row r="167" spans="1:23" x14ac:dyDescent="0.2">
      <c r="A167" t="s">
        <v>979</v>
      </c>
      <c r="B167" t="s">
        <v>157</v>
      </c>
      <c r="C167">
        <v>123.58420038223269</v>
      </c>
      <c r="D167">
        <v>905</v>
      </c>
      <c r="E167">
        <v>14740</v>
      </c>
      <c r="F167">
        <v>7</v>
      </c>
      <c r="G167">
        <v>6</v>
      </c>
      <c r="H167">
        <v>3.125E-2</v>
      </c>
      <c r="I167">
        <v>1</v>
      </c>
      <c r="J167">
        <v>2.6875</v>
      </c>
      <c r="K167">
        <v>2.6875</v>
      </c>
      <c r="L167">
        <v>5.333333333333333</v>
      </c>
      <c r="M167">
        <v>1</v>
      </c>
      <c r="N167">
        <v>1</v>
      </c>
      <c r="O167">
        <v>5</v>
      </c>
      <c r="P167">
        <v>86</v>
      </c>
      <c r="Q167">
        <v>32</v>
      </c>
      <c r="R167">
        <v>6</v>
      </c>
      <c r="S167">
        <v>7</v>
      </c>
      <c r="T167">
        <v>138</v>
      </c>
      <c r="U167">
        <v>23</v>
      </c>
      <c r="V167">
        <v>1</v>
      </c>
      <c r="W167">
        <v>86</v>
      </c>
    </row>
    <row r="168" spans="1:23" x14ac:dyDescent="0.2">
      <c r="A168" t="s">
        <v>980</v>
      </c>
      <c r="B168" t="s">
        <v>157</v>
      </c>
      <c r="C168">
        <v>170.24535393714899</v>
      </c>
      <c r="D168">
        <v>891</v>
      </c>
      <c r="E168">
        <v>1169</v>
      </c>
      <c r="F168">
        <v>9</v>
      </c>
      <c r="G168">
        <v>8</v>
      </c>
      <c r="H168">
        <v>0.67441860465116277</v>
      </c>
      <c r="I168">
        <v>1</v>
      </c>
      <c r="J168">
        <v>1.9069767441860459</v>
      </c>
      <c r="K168">
        <v>1.9069767441860459</v>
      </c>
      <c r="L168">
        <v>5.375</v>
      </c>
      <c r="M168">
        <v>7</v>
      </c>
      <c r="N168">
        <v>1</v>
      </c>
      <c r="O168">
        <v>3</v>
      </c>
      <c r="P168">
        <v>82</v>
      </c>
      <c r="Q168">
        <v>43</v>
      </c>
      <c r="R168">
        <v>8</v>
      </c>
      <c r="S168">
        <v>9</v>
      </c>
      <c r="T168">
        <v>305</v>
      </c>
      <c r="U168">
        <v>51</v>
      </c>
      <c r="V168">
        <v>29</v>
      </c>
      <c r="W168">
        <v>82</v>
      </c>
    </row>
    <row r="169" spans="1:23" x14ac:dyDescent="0.2">
      <c r="A169" t="s">
        <v>981</v>
      </c>
      <c r="B169" t="s">
        <v>157</v>
      </c>
      <c r="C169">
        <v>1473.8765797615049</v>
      </c>
      <c r="D169">
        <v>2627</v>
      </c>
      <c r="E169">
        <v>4209</v>
      </c>
      <c r="F169">
        <v>10</v>
      </c>
      <c r="G169">
        <v>9</v>
      </c>
      <c r="H169">
        <v>0.69811320754716977</v>
      </c>
      <c r="I169">
        <v>1</v>
      </c>
      <c r="J169">
        <v>2</v>
      </c>
      <c r="K169">
        <v>2</v>
      </c>
      <c r="L169">
        <v>5.8888888888888893</v>
      </c>
      <c r="M169">
        <v>8</v>
      </c>
      <c r="N169">
        <v>1</v>
      </c>
      <c r="O169">
        <v>3</v>
      </c>
      <c r="P169">
        <v>106</v>
      </c>
      <c r="Q169">
        <v>53</v>
      </c>
      <c r="R169">
        <v>9</v>
      </c>
      <c r="S169">
        <v>10</v>
      </c>
      <c r="T169">
        <v>424</v>
      </c>
      <c r="U169">
        <v>66</v>
      </c>
      <c r="V169">
        <v>37</v>
      </c>
      <c r="W169">
        <v>106</v>
      </c>
    </row>
    <row r="170" spans="1:23" x14ac:dyDescent="0.2">
      <c r="A170" t="s">
        <v>982</v>
      </c>
      <c r="B170" t="s">
        <v>157</v>
      </c>
      <c r="C170">
        <v>4136.9189736843109</v>
      </c>
      <c r="D170">
        <v>676</v>
      </c>
      <c r="E170">
        <v>7483</v>
      </c>
      <c r="F170">
        <v>7</v>
      </c>
      <c r="G170">
        <v>6</v>
      </c>
      <c r="H170">
        <v>7.1428571428571425E-2</v>
      </c>
      <c r="I170">
        <v>1.1851851851851849</v>
      </c>
      <c r="J170">
        <v>2.285714285714286</v>
      </c>
      <c r="K170">
        <v>1.928571428571429</v>
      </c>
      <c r="L170">
        <v>4.666666666666667</v>
      </c>
      <c r="M170">
        <v>1</v>
      </c>
      <c r="N170">
        <v>5</v>
      </c>
      <c r="O170">
        <v>4</v>
      </c>
      <c r="P170">
        <v>54</v>
      </c>
      <c r="Q170">
        <v>28</v>
      </c>
      <c r="R170">
        <v>6</v>
      </c>
      <c r="S170">
        <v>11</v>
      </c>
      <c r="T170">
        <v>244</v>
      </c>
      <c r="U170">
        <v>48</v>
      </c>
      <c r="V170">
        <v>2</v>
      </c>
      <c r="W170">
        <v>64</v>
      </c>
    </row>
    <row r="171" spans="1:23" x14ac:dyDescent="0.2">
      <c r="A171" t="s">
        <v>983</v>
      </c>
      <c r="B171" t="s">
        <v>157</v>
      </c>
      <c r="C171">
        <v>631.44523429870605</v>
      </c>
      <c r="D171">
        <v>1840</v>
      </c>
      <c r="E171">
        <v>7717</v>
      </c>
      <c r="F171">
        <v>9</v>
      </c>
      <c r="G171">
        <v>8</v>
      </c>
      <c r="H171">
        <v>11.95</v>
      </c>
      <c r="I171">
        <v>1.6049382716049381</v>
      </c>
      <c r="J171">
        <v>2.166666666666667</v>
      </c>
      <c r="K171">
        <v>1.35</v>
      </c>
      <c r="L171">
        <v>7.5</v>
      </c>
      <c r="M171">
        <v>332</v>
      </c>
      <c r="N171">
        <v>4</v>
      </c>
      <c r="O171">
        <v>3</v>
      </c>
      <c r="P171">
        <v>81</v>
      </c>
      <c r="Q171">
        <v>60</v>
      </c>
      <c r="R171">
        <v>8</v>
      </c>
      <c r="S171">
        <v>15</v>
      </c>
      <c r="T171">
        <v>770</v>
      </c>
      <c r="U171">
        <v>95</v>
      </c>
      <c r="V171">
        <v>717</v>
      </c>
      <c r="W171">
        <v>130</v>
      </c>
    </row>
    <row r="172" spans="1:23" x14ac:dyDescent="0.2">
      <c r="A172" t="s">
        <v>984</v>
      </c>
      <c r="B172" t="s">
        <v>158</v>
      </c>
      <c r="C172" t="s">
        <v>159</v>
      </c>
      <c r="D172" t="s">
        <v>159</v>
      </c>
      <c r="E172" t="s">
        <v>159</v>
      </c>
      <c r="F172" t="s">
        <v>159</v>
      </c>
      <c r="G172" t="s">
        <v>159</v>
      </c>
      <c r="H172" t="s">
        <v>159</v>
      </c>
      <c r="I172" t="s">
        <v>159</v>
      </c>
      <c r="J172" t="s">
        <v>159</v>
      </c>
      <c r="K172" t="s">
        <v>159</v>
      </c>
      <c r="L172" t="s">
        <v>159</v>
      </c>
      <c r="M172" t="s">
        <v>159</v>
      </c>
      <c r="N172" t="s">
        <v>159</v>
      </c>
      <c r="O172" t="s">
        <v>159</v>
      </c>
      <c r="P172" t="s">
        <v>159</v>
      </c>
      <c r="Q172" t="s">
        <v>159</v>
      </c>
      <c r="R172" t="s">
        <v>159</v>
      </c>
      <c r="S172" t="s">
        <v>159</v>
      </c>
      <c r="T172" t="s">
        <v>159</v>
      </c>
      <c r="U172" t="s">
        <v>159</v>
      </c>
      <c r="V172" t="s">
        <v>159</v>
      </c>
      <c r="W172" t="s">
        <v>159</v>
      </c>
    </row>
    <row r="173" spans="1:23" x14ac:dyDescent="0.2">
      <c r="A173" t="s">
        <v>985</v>
      </c>
      <c r="B173" t="s">
        <v>157</v>
      </c>
      <c r="C173">
        <v>1182.7801268100741</v>
      </c>
      <c r="D173">
        <v>2587</v>
      </c>
      <c r="E173">
        <v>4249</v>
      </c>
      <c r="F173">
        <v>10</v>
      </c>
      <c r="G173">
        <v>9</v>
      </c>
      <c r="H173">
        <v>0.69811320754716977</v>
      </c>
      <c r="I173">
        <v>1</v>
      </c>
      <c r="J173">
        <v>2</v>
      </c>
      <c r="K173">
        <v>2</v>
      </c>
      <c r="L173">
        <v>5.8888888888888893</v>
      </c>
      <c r="M173">
        <v>8</v>
      </c>
      <c r="N173">
        <v>1</v>
      </c>
      <c r="O173">
        <v>3</v>
      </c>
      <c r="P173">
        <v>106</v>
      </c>
      <c r="Q173">
        <v>53</v>
      </c>
      <c r="R173">
        <v>9</v>
      </c>
      <c r="S173">
        <v>10</v>
      </c>
      <c r="T173">
        <v>424</v>
      </c>
      <c r="U173">
        <v>66</v>
      </c>
      <c r="V173">
        <v>37</v>
      </c>
      <c r="W173">
        <v>106</v>
      </c>
    </row>
    <row r="174" spans="1:23" x14ac:dyDescent="0.2">
      <c r="A174" t="s">
        <v>986</v>
      </c>
      <c r="B174" t="s">
        <v>158</v>
      </c>
      <c r="C174" t="s">
        <v>159</v>
      </c>
      <c r="D174" t="s">
        <v>159</v>
      </c>
      <c r="E174" t="s">
        <v>159</v>
      </c>
      <c r="F174" t="s">
        <v>159</v>
      </c>
      <c r="G174" t="s">
        <v>159</v>
      </c>
      <c r="H174" t="s">
        <v>159</v>
      </c>
      <c r="I174" t="s">
        <v>159</v>
      </c>
      <c r="J174" t="s">
        <v>159</v>
      </c>
      <c r="K174" t="s">
        <v>159</v>
      </c>
      <c r="L174" t="s">
        <v>159</v>
      </c>
      <c r="M174" t="s">
        <v>159</v>
      </c>
      <c r="N174" t="s">
        <v>159</v>
      </c>
      <c r="O174" t="s">
        <v>159</v>
      </c>
      <c r="P174" t="s">
        <v>159</v>
      </c>
      <c r="Q174" t="s">
        <v>159</v>
      </c>
      <c r="R174" t="s">
        <v>159</v>
      </c>
      <c r="S174" t="s">
        <v>159</v>
      </c>
      <c r="T174" t="s">
        <v>159</v>
      </c>
      <c r="U174" t="s">
        <v>159</v>
      </c>
      <c r="V174" t="s">
        <v>159</v>
      </c>
      <c r="W174" t="s">
        <v>159</v>
      </c>
    </row>
    <row r="175" spans="1:23" x14ac:dyDescent="0.2">
      <c r="A175" t="s">
        <v>987</v>
      </c>
      <c r="B175" t="s">
        <v>157</v>
      </c>
      <c r="C175">
        <v>6.2467105388641357</v>
      </c>
      <c r="D175">
        <v>124</v>
      </c>
      <c r="E175">
        <v>736</v>
      </c>
      <c r="F175">
        <v>8</v>
      </c>
      <c r="G175">
        <v>6</v>
      </c>
      <c r="H175">
        <v>0</v>
      </c>
      <c r="I175">
        <v>1.0574712643678159</v>
      </c>
      <c r="J175">
        <v>2.875</v>
      </c>
      <c r="K175">
        <v>2.71875</v>
      </c>
      <c r="L175">
        <v>5.333333333333333</v>
      </c>
      <c r="M175">
        <v>0</v>
      </c>
      <c r="N175">
        <v>6</v>
      </c>
      <c r="O175">
        <v>5</v>
      </c>
      <c r="P175">
        <v>87</v>
      </c>
      <c r="Q175">
        <v>32</v>
      </c>
      <c r="R175">
        <v>6</v>
      </c>
      <c r="S175">
        <v>13</v>
      </c>
      <c r="T175">
        <v>324</v>
      </c>
      <c r="U175">
        <v>57</v>
      </c>
      <c r="V175">
        <v>0</v>
      </c>
      <c r="W175">
        <v>92</v>
      </c>
    </row>
    <row r="176" spans="1:23" x14ac:dyDescent="0.2">
      <c r="A176" t="s">
        <v>988</v>
      </c>
      <c r="B176" t="s">
        <v>157</v>
      </c>
      <c r="C176">
        <v>297.1779465675354</v>
      </c>
      <c r="D176">
        <v>996</v>
      </c>
      <c r="E176">
        <v>19308</v>
      </c>
      <c r="F176">
        <v>7</v>
      </c>
      <c r="G176">
        <v>6</v>
      </c>
      <c r="H176">
        <v>3.125E-2</v>
      </c>
      <c r="I176">
        <v>1</v>
      </c>
      <c r="J176">
        <v>2.6875</v>
      </c>
      <c r="K176">
        <v>2.6875</v>
      </c>
      <c r="L176">
        <v>5.333333333333333</v>
      </c>
      <c r="M176">
        <v>1</v>
      </c>
      <c r="N176">
        <v>1</v>
      </c>
      <c r="O176">
        <v>5</v>
      </c>
      <c r="P176">
        <v>86</v>
      </c>
      <c r="Q176">
        <v>32</v>
      </c>
      <c r="R176">
        <v>6</v>
      </c>
      <c r="S176">
        <v>7</v>
      </c>
      <c r="T176">
        <v>138</v>
      </c>
      <c r="U176">
        <v>23</v>
      </c>
      <c r="V176">
        <v>1</v>
      </c>
      <c r="W176">
        <v>86</v>
      </c>
    </row>
    <row r="177" spans="1:23" x14ac:dyDescent="0.2">
      <c r="A177" t="s">
        <v>989</v>
      </c>
      <c r="B177" t="s">
        <v>158</v>
      </c>
      <c r="C177" t="s">
        <v>159</v>
      </c>
      <c r="D177" t="s">
        <v>159</v>
      </c>
      <c r="E177" t="s">
        <v>159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  <c r="K177" t="s">
        <v>159</v>
      </c>
      <c r="L177" t="s">
        <v>159</v>
      </c>
      <c r="M177" t="s">
        <v>159</v>
      </c>
      <c r="N177" t="s">
        <v>159</v>
      </c>
      <c r="O177" t="s">
        <v>159</v>
      </c>
      <c r="P177" t="s">
        <v>159</v>
      </c>
      <c r="Q177" t="s">
        <v>159</v>
      </c>
      <c r="R177" t="s">
        <v>159</v>
      </c>
      <c r="S177" t="s">
        <v>159</v>
      </c>
      <c r="T177" t="s">
        <v>159</v>
      </c>
      <c r="U177" t="s">
        <v>159</v>
      </c>
      <c r="V177" t="s">
        <v>159</v>
      </c>
      <c r="W177" t="s">
        <v>159</v>
      </c>
    </row>
    <row r="178" spans="1:23" x14ac:dyDescent="0.2">
      <c r="A178" t="s">
        <v>990</v>
      </c>
      <c r="B178" t="s">
        <v>157</v>
      </c>
      <c r="C178">
        <v>911.61216878891003</v>
      </c>
      <c r="D178">
        <v>1998</v>
      </c>
      <c r="E178">
        <v>3306</v>
      </c>
      <c r="F178">
        <v>10</v>
      </c>
      <c r="G178">
        <v>9</v>
      </c>
      <c r="H178">
        <v>57884043949446.672</v>
      </c>
      <c r="I178">
        <v>1.028846153846154</v>
      </c>
      <c r="J178">
        <v>2.0776699029126209</v>
      </c>
      <c r="K178">
        <v>2.0194174757281549</v>
      </c>
      <c r="L178">
        <v>11.444444444444439</v>
      </c>
      <c r="M178">
        <v>1212982689600000</v>
      </c>
      <c r="N178">
        <v>2</v>
      </c>
      <c r="O178">
        <v>4</v>
      </c>
      <c r="P178">
        <v>208</v>
      </c>
      <c r="Q178">
        <v>103</v>
      </c>
      <c r="R178">
        <v>9</v>
      </c>
      <c r="S178">
        <v>19</v>
      </c>
      <c r="T178">
        <v>1743</v>
      </c>
      <c r="U178">
        <v>144</v>
      </c>
      <c r="V178">
        <v>5962056526793007</v>
      </c>
      <c r="W178">
        <v>214</v>
      </c>
    </row>
    <row r="179" spans="1:23" x14ac:dyDescent="0.2">
      <c r="A179" t="s">
        <v>991</v>
      </c>
      <c r="B179" t="s">
        <v>157</v>
      </c>
      <c r="C179">
        <v>2280.7510893344879</v>
      </c>
      <c r="D179">
        <v>2140</v>
      </c>
      <c r="E179">
        <v>3583</v>
      </c>
      <c r="F179">
        <v>10</v>
      </c>
      <c r="G179">
        <v>9</v>
      </c>
      <c r="H179">
        <v>57884043949446.672</v>
      </c>
      <c r="I179">
        <v>1.028846153846154</v>
      </c>
      <c r="J179">
        <v>2.0776699029126209</v>
      </c>
      <c r="K179">
        <v>2.0194174757281549</v>
      </c>
      <c r="L179">
        <v>11.444444444444439</v>
      </c>
      <c r="M179">
        <v>1212982689600000</v>
      </c>
      <c r="N179">
        <v>2</v>
      </c>
      <c r="O179">
        <v>4</v>
      </c>
      <c r="P179">
        <v>208</v>
      </c>
      <c r="Q179">
        <v>103</v>
      </c>
      <c r="R179">
        <v>9</v>
      </c>
      <c r="S179">
        <v>19</v>
      </c>
      <c r="T179">
        <v>1743</v>
      </c>
      <c r="U179">
        <v>144</v>
      </c>
      <c r="V179">
        <v>5962056526793007</v>
      </c>
      <c r="W179">
        <v>214</v>
      </c>
    </row>
    <row r="180" spans="1:23" x14ac:dyDescent="0.2">
      <c r="A180" t="s">
        <v>992</v>
      </c>
      <c r="B180" t="s">
        <v>158</v>
      </c>
      <c r="C180" t="s">
        <v>159</v>
      </c>
      <c r="D180" t="s">
        <v>159</v>
      </c>
      <c r="E180" t="s">
        <v>159</v>
      </c>
      <c r="F180" t="s">
        <v>159</v>
      </c>
      <c r="G180" t="s">
        <v>159</v>
      </c>
      <c r="H180" t="s">
        <v>159</v>
      </c>
      <c r="I180" t="s">
        <v>159</v>
      </c>
      <c r="J180" t="s">
        <v>159</v>
      </c>
      <c r="K180" t="s">
        <v>159</v>
      </c>
      <c r="L180" t="s">
        <v>159</v>
      </c>
      <c r="M180" t="s">
        <v>159</v>
      </c>
      <c r="N180" t="s">
        <v>159</v>
      </c>
      <c r="O180" t="s">
        <v>159</v>
      </c>
      <c r="P180" t="s">
        <v>159</v>
      </c>
      <c r="Q180" t="s">
        <v>159</v>
      </c>
      <c r="R180" t="s">
        <v>159</v>
      </c>
      <c r="S180" t="s">
        <v>159</v>
      </c>
      <c r="T180" t="s">
        <v>159</v>
      </c>
      <c r="U180" t="s">
        <v>159</v>
      </c>
      <c r="V180" t="s">
        <v>159</v>
      </c>
      <c r="W180" t="s">
        <v>159</v>
      </c>
    </row>
    <row r="181" spans="1:23" x14ac:dyDescent="0.2">
      <c r="A181" t="s">
        <v>993</v>
      </c>
      <c r="B181" t="s">
        <v>157</v>
      </c>
      <c r="C181">
        <v>3336.0834152698521</v>
      </c>
      <c r="D181">
        <v>5317</v>
      </c>
      <c r="E181">
        <v>18060</v>
      </c>
      <c r="F181">
        <v>13</v>
      </c>
      <c r="G181">
        <v>12</v>
      </c>
      <c r="H181">
        <v>5549.304347826087</v>
      </c>
      <c r="I181">
        <v>1.2105263157894739</v>
      </c>
      <c r="J181">
        <v>1.5</v>
      </c>
      <c r="K181">
        <v>1.2391304347826091</v>
      </c>
      <c r="L181">
        <v>3.833333333333333</v>
      </c>
      <c r="M181">
        <v>39701</v>
      </c>
      <c r="N181">
        <v>2</v>
      </c>
      <c r="O181">
        <v>3</v>
      </c>
      <c r="P181">
        <v>57</v>
      </c>
      <c r="Q181">
        <v>46</v>
      </c>
      <c r="R181">
        <v>12</v>
      </c>
      <c r="S181">
        <v>25</v>
      </c>
      <c r="T181">
        <v>1081</v>
      </c>
      <c r="U181">
        <v>275</v>
      </c>
      <c r="V181">
        <v>255268</v>
      </c>
      <c r="W181">
        <v>69</v>
      </c>
    </row>
    <row r="182" spans="1:23" x14ac:dyDescent="0.2">
      <c r="A182" t="s">
        <v>994</v>
      </c>
      <c r="B182" t="s">
        <v>158</v>
      </c>
      <c r="C182" t="s">
        <v>159</v>
      </c>
      <c r="D182" t="s">
        <v>159</v>
      </c>
      <c r="E182" t="s">
        <v>159</v>
      </c>
      <c r="F182" t="s">
        <v>159</v>
      </c>
      <c r="G182" t="s">
        <v>159</v>
      </c>
      <c r="H182" t="s">
        <v>159</v>
      </c>
      <c r="I182" t="s">
        <v>159</v>
      </c>
      <c r="J182" t="s">
        <v>159</v>
      </c>
      <c r="K182" t="s">
        <v>159</v>
      </c>
      <c r="L182" t="s">
        <v>159</v>
      </c>
      <c r="M182" t="s">
        <v>159</v>
      </c>
      <c r="N182" t="s">
        <v>159</v>
      </c>
      <c r="O182" t="s">
        <v>159</v>
      </c>
      <c r="P182" t="s">
        <v>159</v>
      </c>
      <c r="Q182" t="s">
        <v>159</v>
      </c>
      <c r="R182" t="s">
        <v>159</v>
      </c>
      <c r="S182" t="s">
        <v>159</v>
      </c>
      <c r="T182" t="s">
        <v>159</v>
      </c>
      <c r="U182" t="s">
        <v>159</v>
      </c>
      <c r="V182" t="s">
        <v>159</v>
      </c>
      <c r="W182" t="s">
        <v>159</v>
      </c>
    </row>
    <row r="183" spans="1:23" x14ac:dyDescent="0.2">
      <c r="A183" t="s">
        <v>995</v>
      </c>
      <c r="B183" t="s">
        <v>157</v>
      </c>
      <c r="C183">
        <v>8.8573696613311768</v>
      </c>
      <c r="D183">
        <v>172</v>
      </c>
      <c r="E183">
        <v>1353</v>
      </c>
      <c r="F183">
        <v>8</v>
      </c>
      <c r="G183">
        <v>6</v>
      </c>
      <c r="H183">
        <v>0</v>
      </c>
      <c r="I183">
        <v>1.0574712643678159</v>
      </c>
      <c r="J183">
        <v>2.875</v>
      </c>
      <c r="K183">
        <v>2.71875</v>
      </c>
      <c r="L183">
        <v>5.333333333333333</v>
      </c>
      <c r="M183">
        <v>0</v>
      </c>
      <c r="N183">
        <v>6</v>
      </c>
      <c r="O183">
        <v>5</v>
      </c>
      <c r="P183">
        <v>87</v>
      </c>
      <c r="Q183">
        <v>32</v>
      </c>
      <c r="R183">
        <v>6</v>
      </c>
      <c r="S183">
        <v>13</v>
      </c>
      <c r="T183">
        <v>324</v>
      </c>
      <c r="U183">
        <v>57</v>
      </c>
      <c r="V183">
        <v>0</v>
      </c>
      <c r="W183">
        <v>92</v>
      </c>
    </row>
    <row r="184" spans="1:23" x14ac:dyDescent="0.2">
      <c r="A184" t="s">
        <v>996</v>
      </c>
      <c r="B184" t="s">
        <v>158</v>
      </c>
      <c r="C184" t="s">
        <v>159</v>
      </c>
      <c r="D184" t="s">
        <v>159</v>
      </c>
      <c r="E184" t="s">
        <v>159</v>
      </c>
      <c r="F184" t="s">
        <v>159</v>
      </c>
      <c r="G184" t="s">
        <v>159</v>
      </c>
      <c r="H184" t="s">
        <v>159</v>
      </c>
      <c r="I184" t="s">
        <v>159</v>
      </c>
      <c r="J184" t="s">
        <v>159</v>
      </c>
      <c r="K184" t="s">
        <v>159</v>
      </c>
      <c r="L184" t="s">
        <v>159</v>
      </c>
      <c r="M184" t="s">
        <v>159</v>
      </c>
      <c r="N184" t="s">
        <v>159</v>
      </c>
      <c r="O184" t="s">
        <v>159</v>
      </c>
      <c r="P184" t="s">
        <v>159</v>
      </c>
      <c r="Q184" t="s">
        <v>159</v>
      </c>
      <c r="R184" t="s">
        <v>159</v>
      </c>
      <c r="S184" t="s">
        <v>159</v>
      </c>
      <c r="T184" t="s">
        <v>159</v>
      </c>
      <c r="U184" t="s">
        <v>159</v>
      </c>
      <c r="V184" t="s">
        <v>159</v>
      </c>
      <c r="W184" t="s">
        <v>159</v>
      </c>
    </row>
    <row r="185" spans="1:23" x14ac:dyDescent="0.2">
      <c r="A185" t="s">
        <v>997</v>
      </c>
      <c r="B185" t="s">
        <v>157</v>
      </c>
      <c r="C185">
        <v>52.333208084106452</v>
      </c>
      <c r="D185">
        <v>784</v>
      </c>
      <c r="E185">
        <v>843</v>
      </c>
      <c r="F185">
        <v>9</v>
      </c>
      <c r="G185">
        <v>8</v>
      </c>
      <c r="H185">
        <v>0.67441860465116277</v>
      </c>
      <c r="I185">
        <v>1</v>
      </c>
      <c r="J185">
        <v>1.9069767441860459</v>
      </c>
      <c r="K185">
        <v>1.9069767441860459</v>
      </c>
      <c r="L185">
        <v>5.375</v>
      </c>
      <c r="M185">
        <v>7</v>
      </c>
      <c r="N185">
        <v>1</v>
      </c>
      <c r="O185">
        <v>3</v>
      </c>
      <c r="P185">
        <v>82</v>
      </c>
      <c r="Q185">
        <v>43</v>
      </c>
      <c r="R185">
        <v>8</v>
      </c>
      <c r="S185">
        <v>9</v>
      </c>
      <c r="T185">
        <v>305</v>
      </c>
      <c r="U185">
        <v>51</v>
      </c>
      <c r="V185">
        <v>29</v>
      </c>
      <c r="W185">
        <v>82</v>
      </c>
    </row>
    <row r="186" spans="1:23" x14ac:dyDescent="0.2">
      <c r="A186" t="s">
        <v>998</v>
      </c>
      <c r="B186" t="s">
        <v>158</v>
      </c>
      <c r="C186" t="s">
        <v>159</v>
      </c>
      <c r="D186" t="s">
        <v>159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  <c r="J186" t="s">
        <v>159</v>
      </c>
      <c r="K186" t="s">
        <v>159</v>
      </c>
      <c r="L186" t="s">
        <v>159</v>
      </c>
      <c r="M186" t="s">
        <v>159</v>
      </c>
      <c r="N186" t="s">
        <v>159</v>
      </c>
      <c r="O186" t="s">
        <v>159</v>
      </c>
      <c r="P186" t="s">
        <v>159</v>
      </c>
      <c r="Q186" t="s">
        <v>159</v>
      </c>
      <c r="R186" t="s">
        <v>159</v>
      </c>
      <c r="S186" t="s">
        <v>159</v>
      </c>
      <c r="T186" t="s">
        <v>159</v>
      </c>
      <c r="U186" t="s">
        <v>159</v>
      </c>
      <c r="V186" t="s">
        <v>159</v>
      </c>
      <c r="W186" t="s">
        <v>159</v>
      </c>
    </row>
    <row r="187" spans="1:23" x14ac:dyDescent="0.2">
      <c r="A187" t="s">
        <v>999</v>
      </c>
      <c r="B187" t="s">
        <v>158</v>
      </c>
      <c r="C187" t="s">
        <v>159</v>
      </c>
      <c r="D187" t="s">
        <v>159</v>
      </c>
      <c r="E187" t="s">
        <v>159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  <c r="P187" t="s">
        <v>159</v>
      </c>
      <c r="Q187" t="s">
        <v>159</v>
      </c>
      <c r="R187" t="s">
        <v>159</v>
      </c>
      <c r="S187" t="s">
        <v>159</v>
      </c>
      <c r="T187" t="s">
        <v>159</v>
      </c>
      <c r="U187" t="s">
        <v>159</v>
      </c>
      <c r="V187" t="s">
        <v>159</v>
      </c>
      <c r="W187" t="s">
        <v>159</v>
      </c>
    </row>
    <row r="188" spans="1:23" x14ac:dyDescent="0.2">
      <c r="A188" t="s">
        <v>1000</v>
      </c>
      <c r="B188" t="s">
        <v>157</v>
      </c>
      <c r="C188">
        <v>9.2545261383056641</v>
      </c>
      <c r="D188">
        <v>274</v>
      </c>
      <c r="E188">
        <v>377</v>
      </c>
      <c r="F188">
        <v>9</v>
      </c>
      <c r="G188">
        <v>8</v>
      </c>
      <c r="H188">
        <v>51.549019607843142</v>
      </c>
      <c r="I188">
        <v>1.0543478260869561</v>
      </c>
      <c r="J188">
        <v>1.9019607843137261</v>
      </c>
      <c r="K188">
        <v>1.803921568627451</v>
      </c>
      <c r="L188">
        <v>6.375</v>
      </c>
      <c r="M188">
        <v>284</v>
      </c>
      <c r="N188">
        <v>2</v>
      </c>
      <c r="O188">
        <v>3</v>
      </c>
      <c r="P188">
        <v>92</v>
      </c>
      <c r="Q188">
        <v>51</v>
      </c>
      <c r="R188">
        <v>8</v>
      </c>
      <c r="S188">
        <v>10</v>
      </c>
      <c r="T188">
        <v>413</v>
      </c>
      <c r="U188">
        <v>62</v>
      </c>
      <c r="V188">
        <v>2629</v>
      </c>
      <c r="W188">
        <v>97</v>
      </c>
    </row>
    <row r="189" spans="1:23" x14ac:dyDescent="0.2">
      <c r="A189" t="s">
        <v>1001</v>
      </c>
      <c r="B189" t="s">
        <v>157</v>
      </c>
      <c r="C189">
        <v>2536.3830027580261</v>
      </c>
      <c r="D189">
        <v>870</v>
      </c>
      <c r="E189">
        <v>13877</v>
      </c>
      <c r="F189">
        <v>7</v>
      </c>
      <c r="G189">
        <v>6</v>
      </c>
      <c r="H189">
        <v>7.1428571428571425E-2</v>
      </c>
      <c r="I189">
        <v>1.1851851851851849</v>
      </c>
      <c r="J189">
        <v>2.285714285714286</v>
      </c>
      <c r="K189">
        <v>1.928571428571429</v>
      </c>
      <c r="L189">
        <v>4.666666666666667</v>
      </c>
      <c r="M189">
        <v>1</v>
      </c>
      <c r="N189">
        <v>5</v>
      </c>
      <c r="O189">
        <v>4</v>
      </c>
      <c r="P189">
        <v>54</v>
      </c>
      <c r="Q189">
        <v>28</v>
      </c>
      <c r="R189">
        <v>6</v>
      </c>
      <c r="S189">
        <v>11</v>
      </c>
      <c r="T189">
        <v>244</v>
      </c>
      <c r="U189">
        <v>48</v>
      </c>
      <c r="V189">
        <v>2</v>
      </c>
      <c r="W189">
        <v>64</v>
      </c>
    </row>
    <row r="190" spans="1:23" x14ac:dyDescent="0.2">
      <c r="A190" t="s">
        <v>1002</v>
      </c>
      <c r="B190" t="s">
        <v>157</v>
      </c>
      <c r="C190">
        <v>127.17442488670351</v>
      </c>
      <c r="D190">
        <v>889</v>
      </c>
      <c r="E190">
        <v>16285</v>
      </c>
      <c r="F190">
        <v>7</v>
      </c>
      <c r="G190">
        <v>6</v>
      </c>
      <c r="H190">
        <v>3.125E-2</v>
      </c>
      <c r="I190">
        <v>1</v>
      </c>
      <c r="J190">
        <v>2.6875</v>
      </c>
      <c r="K190">
        <v>2.6875</v>
      </c>
      <c r="L190">
        <v>5.333333333333333</v>
      </c>
      <c r="M190">
        <v>1</v>
      </c>
      <c r="N190">
        <v>1</v>
      </c>
      <c r="O190">
        <v>5</v>
      </c>
      <c r="P190">
        <v>86</v>
      </c>
      <c r="Q190">
        <v>32</v>
      </c>
      <c r="R190">
        <v>6</v>
      </c>
      <c r="S190">
        <v>7</v>
      </c>
      <c r="T190">
        <v>138</v>
      </c>
      <c r="U190">
        <v>23</v>
      </c>
      <c r="V190">
        <v>1</v>
      </c>
      <c r="W190">
        <v>86</v>
      </c>
    </row>
    <row r="191" spans="1:23" x14ac:dyDescent="0.2">
      <c r="A191" t="s">
        <v>1003</v>
      </c>
      <c r="B191" t="s">
        <v>158</v>
      </c>
      <c r="C191" t="s">
        <v>159</v>
      </c>
      <c r="D191" t="s">
        <v>159</v>
      </c>
      <c r="E191" t="s">
        <v>159</v>
      </c>
      <c r="F191" t="s">
        <v>159</v>
      </c>
      <c r="G191" t="s">
        <v>159</v>
      </c>
      <c r="H191" t="s">
        <v>159</v>
      </c>
      <c r="I191" t="s">
        <v>159</v>
      </c>
      <c r="J191" t="s">
        <v>159</v>
      </c>
      <c r="K191" t="s">
        <v>159</v>
      </c>
      <c r="L191" t="s">
        <v>159</v>
      </c>
      <c r="M191" t="s">
        <v>159</v>
      </c>
      <c r="N191" t="s">
        <v>159</v>
      </c>
      <c r="O191" t="s">
        <v>159</v>
      </c>
      <c r="P191" t="s">
        <v>159</v>
      </c>
      <c r="Q191" t="s">
        <v>159</v>
      </c>
      <c r="R191" t="s">
        <v>159</v>
      </c>
      <c r="S191" t="s">
        <v>159</v>
      </c>
      <c r="T191" t="s">
        <v>159</v>
      </c>
      <c r="U191" t="s">
        <v>159</v>
      </c>
      <c r="V191" t="s">
        <v>159</v>
      </c>
      <c r="W191" t="s">
        <v>159</v>
      </c>
    </row>
    <row r="192" spans="1:23" x14ac:dyDescent="0.2">
      <c r="A192" t="s">
        <v>1004</v>
      </c>
      <c r="B192" t="s">
        <v>157</v>
      </c>
      <c r="C192">
        <v>1296.4490909576421</v>
      </c>
      <c r="D192">
        <v>663</v>
      </c>
      <c r="E192">
        <v>10954</v>
      </c>
      <c r="F192">
        <v>7</v>
      </c>
      <c r="G192">
        <v>6</v>
      </c>
      <c r="H192">
        <v>7.1428571428571425E-2</v>
      </c>
      <c r="I192">
        <v>1.1851851851851849</v>
      </c>
      <c r="J192">
        <v>2.285714285714286</v>
      </c>
      <c r="K192">
        <v>1.928571428571429</v>
      </c>
      <c r="L192">
        <v>4.666666666666667</v>
      </c>
      <c r="M192">
        <v>1</v>
      </c>
      <c r="N192">
        <v>5</v>
      </c>
      <c r="O192">
        <v>4</v>
      </c>
      <c r="P192">
        <v>54</v>
      </c>
      <c r="Q192">
        <v>28</v>
      </c>
      <c r="R192">
        <v>6</v>
      </c>
      <c r="S192">
        <v>11</v>
      </c>
      <c r="T192">
        <v>244</v>
      </c>
      <c r="U192">
        <v>48</v>
      </c>
      <c r="V192">
        <v>2</v>
      </c>
      <c r="W192">
        <v>64</v>
      </c>
    </row>
    <row r="193" spans="1:23" x14ac:dyDescent="0.2">
      <c r="A193" t="s">
        <v>1005</v>
      </c>
      <c r="B193" t="s">
        <v>157</v>
      </c>
      <c r="C193">
        <v>1161.1997683048251</v>
      </c>
      <c r="D193">
        <v>2528</v>
      </c>
      <c r="E193">
        <v>4301</v>
      </c>
      <c r="F193">
        <v>10</v>
      </c>
      <c r="G193">
        <v>9</v>
      </c>
      <c r="H193">
        <v>0.69811320754716977</v>
      </c>
      <c r="I193">
        <v>1</v>
      </c>
      <c r="J193">
        <v>2</v>
      </c>
      <c r="K193">
        <v>2</v>
      </c>
      <c r="L193">
        <v>5.8888888888888893</v>
      </c>
      <c r="M193">
        <v>8</v>
      </c>
      <c r="N193">
        <v>1</v>
      </c>
      <c r="O193">
        <v>3</v>
      </c>
      <c r="P193">
        <v>106</v>
      </c>
      <c r="Q193">
        <v>53</v>
      </c>
      <c r="R193">
        <v>9</v>
      </c>
      <c r="S193">
        <v>10</v>
      </c>
      <c r="T193">
        <v>424</v>
      </c>
      <c r="U193">
        <v>66</v>
      </c>
      <c r="V193">
        <v>37</v>
      </c>
      <c r="W193">
        <v>106</v>
      </c>
    </row>
    <row r="194" spans="1:23" x14ac:dyDescent="0.2">
      <c r="A194" t="s">
        <v>1006</v>
      </c>
      <c r="B194" t="s">
        <v>158</v>
      </c>
      <c r="C194" t="s">
        <v>159</v>
      </c>
      <c r="D194" t="s">
        <v>159</v>
      </c>
      <c r="E194" t="s">
        <v>159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  <c r="L194" t="s">
        <v>159</v>
      </c>
      <c r="M194" t="s">
        <v>159</v>
      </c>
      <c r="N194" t="s">
        <v>159</v>
      </c>
      <c r="O194" t="s">
        <v>159</v>
      </c>
      <c r="P194" t="s">
        <v>159</v>
      </c>
      <c r="Q194" t="s">
        <v>159</v>
      </c>
      <c r="R194" t="s">
        <v>159</v>
      </c>
      <c r="S194" t="s">
        <v>159</v>
      </c>
      <c r="T194" t="s">
        <v>159</v>
      </c>
      <c r="U194" t="s">
        <v>159</v>
      </c>
      <c r="V194" t="s">
        <v>159</v>
      </c>
      <c r="W194" t="s">
        <v>159</v>
      </c>
    </row>
    <row r="195" spans="1:23" x14ac:dyDescent="0.2">
      <c r="A195" t="s">
        <v>1007</v>
      </c>
      <c r="B195" t="s">
        <v>157</v>
      </c>
      <c r="C195">
        <v>114.8165655136108</v>
      </c>
      <c r="D195">
        <v>1309</v>
      </c>
      <c r="E195">
        <v>3709</v>
      </c>
      <c r="F195">
        <v>7</v>
      </c>
      <c r="G195">
        <v>7</v>
      </c>
      <c r="H195">
        <v>7.0727272727272723</v>
      </c>
      <c r="I195">
        <v>1.6578947368421051</v>
      </c>
      <c r="J195">
        <v>2.290909090909091</v>
      </c>
      <c r="K195">
        <v>1.3818181818181821</v>
      </c>
      <c r="L195">
        <v>7.8571428571428568</v>
      </c>
      <c r="M195">
        <v>36</v>
      </c>
      <c r="N195">
        <v>4</v>
      </c>
      <c r="O195">
        <v>3</v>
      </c>
      <c r="P195">
        <v>76</v>
      </c>
      <c r="Q195">
        <v>55</v>
      </c>
      <c r="R195">
        <v>7</v>
      </c>
      <c r="S195">
        <v>14</v>
      </c>
      <c r="T195">
        <v>644</v>
      </c>
      <c r="U195">
        <v>74</v>
      </c>
      <c r="V195">
        <v>389</v>
      </c>
      <c r="W195">
        <v>126</v>
      </c>
    </row>
    <row r="196" spans="1:23" x14ac:dyDescent="0.2">
      <c r="A196" t="s">
        <v>1008</v>
      </c>
      <c r="B196" t="s">
        <v>157</v>
      </c>
      <c r="C196">
        <v>3197.151911258698</v>
      </c>
      <c r="D196">
        <v>5746</v>
      </c>
      <c r="E196">
        <v>19379</v>
      </c>
      <c r="F196">
        <v>13</v>
      </c>
      <c r="G196">
        <v>12</v>
      </c>
      <c r="H196">
        <v>5549.304347826087</v>
      </c>
      <c r="I196">
        <v>1.2105263157894739</v>
      </c>
      <c r="J196">
        <v>1.5</v>
      </c>
      <c r="K196">
        <v>1.2391304347826091</v>
      </c>
      <c r="L196">
        <v>3.833333333333333</v>
      </c>
      <c r="M196">
        <v>39701</v>
      </c>
      <c r="N196">
        <v>2</v>
      </c>
      <c r="O196">
        <v>3</v>
      </c>
      <c r="P196">
        <v>57</v>
      </c>
      <c r="Q196">
        <v>46</v>
      </c>
      <c r="R196">
        <v>12</v>
      </c>
      <c r="S196">
        <v>25</v>
      </c>
      <c r="T196">
        <v>1081</v>
      </c>
      <c r="U196">
        <v>275</v>
      </c>
      <c r="V196">
        <v>255268</v>
      </c>
      <c r="W196">
        <v>69</v>
      </c>
    </row>
    <row r="197" spans="1:23" x14ac:dyDescent="0.2">
      <c r="A197" t="s">
        <v>1009</v>
      </c>
      <c r="B197" t="s">
        <v>157</v>
      </c>
      <c r="C197">
        <v>6991.5909657478333</v>
      </c>
      <c r="D197">
        <v>7846</v>
      </c>
      <c r="E197">
        <v>22512</v>
      </c>
      <c r="F197">
        <v>13</v>
      </c>
      <c r="G197">
        <v>12</v>
      </c>
      <c r="H197">
        <v>5549.304347826087</v>
      </c>
      <c r="I197">
        <v>1.1142857142857141</v>
      </c>
      <c r="J197">
        <v>1.6956521739130439</v>
      </c>
      <c r="K197">
        <v>1.5217391304347829</v>
      </c>
      <c r="L197">
        <v>3.833333333333333</v>
      </c>
      <c r="M197">
        <v>39701</v>
      </c>
      <c r="N197">
        <v>2</v>
      </c>
      <c r="O197">
        <v>5</v>
      </c>
      <c r="P197">
        <v>70</v>
      </c>
      <c r="Q197">
        <v>46</v>
      </c>
      <c r="R197">
        <v>12</v>
      </c>
      <c r="S197">
        <v>25</v>
      </c>
      <c r="T197">
        <v>1072</v>
      </c>
      <c r="U197">
        <v>272</v>
      </c>
      <c r="V197">
        <v>255268</v>
      </c>
      <c r="W197">
        <v>78</v>
      </c>
    </row>
    <row r="198" spans="1:23" x14ac:dyDescent="0.2">
      <c r="A198" t="s">
        <v>1010</v>
      </c>
      <c r="B198" t="s">
        <v>158</v>
      </c>
      <c r="C198" t="s">
        <v>159</v>
      </c>
      <c r="D198" t="s">
        <v>159</v>
      </c>
      <c r="E198" t="s">
        <v>159</v>
      </c>
      <c r="F198" t="s">
        <v>159</v>
      </c>
      <c r="G198" t="s">
        <v>159</v>
      </c>
      <c r="H198" t="s">
        <v>159</v>
      </c>
      <c r="I198" t="s">
        <v>159</v>
      </c>
      <c r="J198" t="s">
        <v>159</v>
      </c>
      <c r="K198" t="s">
        <v>159</v>
      </c>
      <c r="L198" t="s">
        <v>159</v>
      </c>
      <c r="M198" t="s">
        <v>159</v>
      </c>
      <c r="N198" t="s">
        <v>159</v>
      </c>
      <c r="O198" t="s">
        <v>159</v>
      </c>
      <c r="P198" t="s">
        <v>159</v>
      </c>
      <c r="Q198" t="s">
        <v>159</v>
      </c>
      <c r="R198" t="s">
        <v>159</v>
      </c>
      <c r="S198" t="s">
        <v>159</v>
      </c>
      <c r="T198" t="s">
        <v>159</v>
      </c>
      <c r="U198" t="s">
        <v>159</v>
      </c>
      <c r="V198" t="s">
        <v>159</v>
      </c>
      <c r="W198" t="s">
        <v>159</v>
      </c>
    </row>
    <row r="199" spans="1:23" x14ac:dyDescent="0.2">
      <c r="A199" t="s">
        <v>1011</v>
      </c>
      <c r="B199" t="s">
        <v>157</v>
      </c>
      <c r="C199">
        <v>938.89141726493835</v>
      </c>
      <c r="D199">
        <v>1011</v>
      </c>
      <c r="E199">
        <v>1456</v>
      </c>
      <c r="F199">
        <v>9</v>
      </c>
      <c r="G199">
        <v>8</v>
      </c>
      <c r="H199">
        <v>0.67441860465116277</v>
      </c>
      <c r="I199">
        <v>1</v>
      </c>
      <c r="J199">
        <v>1.9069767441860459</v>
      </c>
      <c r="K199">
        <v>1.9069767441860459</v>
      </c>
      <c r="L199">
        <v>5.375</v>
      </c>
      <c r="M199">
        <v>7</v>
      </c>
      <c r="N199">
        <v>1</v>
      </c>
      <c r="O199">
        <v>3</v>
      </c>
      <c r="P199">
        <v>82</v>
      </c>
      <c r="Q199">
        <v>43</v>
      </c>
      <c r="R199">
        <v>8</v>
      </c>
      <c r="S199">
        <v>9</v>
      </c>
      <c r="T199">
        <v>305</v>
      </c>
      <c r="U199">
        <v>52</v>
      </c>
      <c r="V199">
        <v>29</v>
      </c>
      <c r="W199">
        <v>82</v>
      </c>
    </row>
    <row r="200" spans="1:23" x14ac:dyDescent="0.2">
      <c r="A200" t="s">
        <v>1012</v>
      </c>
      <c r="B200" t="s">
        <v>158</v>
      </c>
      <c r="C200" t="s">
        <v>159</v>
      </c>
      <c r="D200" t="s">
        <v>159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  <c r="Q200" t="s">
        <v>159</v>
      </c>
      <c r="R200" t="s">
        <v>159</v>
      </c>
      <c r="S200" t="s">
        <v>159</v>
      </c>
      <c r="T200" t="s">
        <v>159</v>
      </c>
      <c r="U200" t="s">
        <v>159</v>
      </c>
      <c r="V200" t="s">
        <v>159</v>
      </c>
      <c r="W200" t="s">
        <v>159</v>
      </c>
    </row>
    <row r="201" spans="1:23" x14ac:dyDescent="0.2">
      <c r="A201" t="s">
        <v>1013</v>
      </c>
      <c r="B201" t="s">
        <v>157</v>
      </c>
      <c r="C201">
        <v>53.936545372009277</v>
      </c>
      <c r="D201">
        <v>49</v>
      </c>
      <c r="E201">
        <v>3631</v>
      </c>
      <c r="F201">
        <v>7</v>
      </c>
      <c r="G201">
        <v>4</v>
      </c>
      <c r="H201">
        <v>9</v>
      </c>
      <c r="I201">
        <v>1.1481481481481479</v>
      </c>
      <c r="J201">
        <v>3.875</v>
      </c>
      <c r="K201">
        <v>3.375</v>
      </c>
      <c r="L201">
        <v>24</v>
      </c>
      <c r="M201">
        <v>24</v>
      </c>
      <c r="N201">
        <v>2</v>
      </c>
      <c r="O201">
        <v>5</v>
      </c>
      <c r="P201">
        <v>324</v>
      </c>
      <c r="Q201">
        <v>96</v>
      </c>
      <c r="R201">
        <v>4</v>
      </c>
      <c r="S201">
        <v>11</v>
      </c>
      <c r="T201">
        <v>684</v>
      </c>
      <c r="U201">
        <v>20</v>
      </c>
      <c r="V201">
        <v>864</v>
      </c>
      <c r="W201">
        <v>372</v>
      </c>
    </row>
    <row r="202" spans="1:23" x14ac:dyDescent="0.2">
      <c r="A202" t="s">
        <v>1014</v>
      </c>
      <c r="B202" t="s">
        <v>157</v>
      </c>
      <c r="C202">
        <v>30.666014432907101</v>
      </c>
      <c r="D202">
        <v>370</v>
      </c>
      <c r="E202">
        <v>364</v>
      </c>
      <c r="F202">
        <v>8</v>
      </c>
      <c r="G202">
        <v>7</v>
      </c>
      <c r="H202">
        <v>0.6470588235294118</v>
      </c>
      <c r="I202">
        <v>1</v>
      </c>
      <c r="J202">
        <v>1.794117647058824</v>
      </c>
      <c r="K202">
        <v>1.794117647058824</v>
      </c>
      <c r="L202">
        <v>4.8571428571428568</v>
      </c>
      <c r="M202">
        <v>6</v>
      </c>
      <c r="N202">
        <v>1</v>
      </c>
      <c r="O202">
        <v>3</v>
      </c>
      <c r="P202">
        <v>61</v>
      </c>
      <c r="Q202">
        <v>34</v>
      </c>
      <c r="R202">
        <v>7</v>
      </c>
      <c r="S202">
        <v>8</v>
      </c>
      <c r="T202">
        <v>211</v>
      </c>
      <c r="U202">
        <v>39</v>
      </c>
      <c r="V202">
        <v>22</v>
      </c>
      <c r="W202">
        <v>61</v>
      </c>
    </row>
    <row r="203" spans="1:23" x14ac:dyDescent="0.2">
      <c r="A203" t="s">
        <v>1015</v>
      </c>
      <c r="B203" t="s">
        <v>157</v>
      </c>
      <c r="C203">
        <v>1020.536310195923</v>
      </c>
      <c r="D203">
        <v>2000</v>
      </c>
      <c r="E203">
        <v>3193</v>
      </c>
      <c r="F203">
        <v>10</v>
      </c>
      <c r="G203">
        <v>9</v>
      </c>
      <c r="H203">
        <v>57884043949446.672</v>
      </c>
      <c r="I203">
        <v>1.028846153846154</v>
      </c>
      <c r="J203">
        <v>2.0776699029126209</v>
      </c>
      <c r="K203">
        <v>2.0194174757281549</v>
      </c>
      <c r="L203">
        <v>11.444444444444439</v>
      </c>
      <c r="M203">
        <v>1212982689600000</v>
      </c>
      <c r="N203">
        <v>2</v>
      </c>
      <c r="O203">
        <v>4</v>
      </c>
      <c r="P203">
        <v>208</v>
      </c>
      <c r="Q203">
        <v>103</v>
      </c>
      <c r="R203">
        <v>9</v>
      </c>
      <c r="S203">
        <v>19</v>
      </c>
      <c r="T203">
        <v>1743</v>
      </c>
      <c r="U203">
        <v>144</v>
      </c>
      <c r="V203">
        <v>5962056526793007</v>
      </c>
      <c r="W203">
        <v>214</v>
      </c>
    </row>
    <row r="204" spans="1:23" x14ac:dyDescent="0.2">
      <c r="A204" t="s">
        <v>1016</v>
      </c>
      <c r="B204" t="s">
        <v>157</v>
      </c>
      <c r="C204">
        <v>131.77365565299991</v>
      </c>
      <c r="D204">
        <v>1011</v>
      </c>
      <c r="E204">
        <v>1234</v>
      </c>
      <c r="F204">
        <v>9</v>
      </c>
      <c r="G204">
        <v>8</v>
      </c>
      <c r="H204">
        <v>0.67441860465116277</v>
      </c>
      <c r="I204">
        <v>1</v>
      </c>
      <c r="J204">
        <v>1.9069767441860459</v>
      </c>
      <c r="K204">
        <v>1.9069767441860459</v>
      </c>
      <c r="L204">
        <v>5.375</v>
      </c>
      <c r="M204">
        <v>7</v>
      </c>
      <c r="N204">
        <v>1</v>
      </c>
      <c r="O204">
        <v>3</v>
      </c>
      <c r="P204">
        <v>82</v>
      </c>
      <c r="Q204">
        <v>43</v>
      </c>
      <c r="R204">
        <v>8</v>
      </c>
      <c r="S204">
        <v>9</v>
      </c>
      <c r="T204">
        <v>305</v>
      </c>
      <c r="U204">
        <v>51</v>
      </c>
      <c r="V204">
        <v>29</v>
      </c>
      <c r="W204">
        <v>82</v>
      </c>
    </row>
    <row r="205" spans="1:23" x14ac:dyDescent="0.2">
      <c r="A205" t="s">
        <v>1017</v>
      </c>
      <c r="B205" t="s">
        <v>157</v>
      </c>
      <c r="C205">
        <v>10.48449969291687</v>
      </c>
      <c r="D205">
        <v>275</v>
      </c>
      <c r="E205">
        <v>377</v>
      </c>
      <c r="F205">
        <v>9</v>
      </c>
      <c r="G205">
        <v>8</v>
      </c>
      <c r="H205">
        <v>51.509803921568633</v>
      </c>
      <c r="I205">
        <v>1.0543478260869561</v>
      </c>
      <c r="J205">
        <v>1.9019607843137261</v>
      </c>
      <c r="K205">
        <v>1.803921568627451</v>
      </c>
      <c r="L205">
        <v>6.375</v>
      </c>
      <c r="M205">
        <v>284</v>
      </c>
      <c r="N205">
        <v>2</v>
      </c>
      <c r="O205">
        <v>3</v>
      </c>
      <c r="P205">
        <v>92</v>
      </c>
      <c r="Q205">
        <v>51</v>
      </c>
      <c r="R205">
        <v>8</v>
      </c>
      <c r="S205">
        <v>10</v>
      </c>
      <c r="T205">
        <v>413</v>
      </c>
      <c r="U205">
        <v>62</v>
      </c>
      <c r="V205">
        <v>2627</v>
      </c>
      <c r="W205">
        <v>97</v>
      </c>
    </row>
    <row r="206" spans="1:23" x14ac:dyDescent="0.2">
      <c r="A206" t="s">
        <v>1018</v>
      </c>
      <c r="B206" t="s">
        <v>157</v>
      </c>
      <c r="C206">
        <v>6665.5812067985526</v>
      </c>
      <c r="D206">
        <v>7973</v>
      </c>
      <c r="E206">
        <v>22863</v>
      </c>
      <c r="F206">
        <v>13</v>
      </c>
      <c r="G206">
        <v>12</v>
      </c>
      <c r="H206">
        <v>5549.304347826087</v>
      </c>
      <c r="I206">
        <v>1.1142857142857141</v>
      </c>
      <c r="J206">
        <v>1.6956521739130439</v>
      </c>
      <c r="K206">
        <v>1.5217391304347829</v>
      </c>
      <c r="L206">
        <v>3.833333333333333</v>
      </c>
      <c r="M206">
        <v>39701</v>
      </c>
      <c r="N206">
        <v>2</v>
      </c>
      <c r="O206">
        <v>5</v>
      </c>
      <c r="P206">
        <v>70</v>
      </c>
      <c r="Q206">
        <v>46</v>
      </c>
      <c r="R206">
        <v>12</v>
      </c>
      <c r="S206">
        <v>25</v>
      </c>
      <c r="T206">
        <v>1072</v>
      </c>
      <c r="U206">
        <v>272</v>
      </c>
      <c r="V206">
        <v>255268</v>
      </c>
      <c r="W206">
        <v>78</v>
      </c>
    </row>
    <row r="207" spans="1:23" x14ac:dyDescent="0.2">
      <c r="A207" t="s">
        <v>1019</v>
      </c>
      <c r="B207" t="s">
        <v>157</v>
      </c>
      <c r="C207">
        <v>8.8176267147064209</v>
      </c>
      <c r="D207">
        <v>274</v>
      </c>
      <c r="E207">
        <v>380</v>
      </c>
      <c r="F207">
        <v>9</v>
      </c>
      <c r="G207">
        <v>8</v>
      </c>
      <c r="H207">
        <v>130.2352941176471</v>
      </c>
      <c r="I207">
        <v>1.0543478260869561</v>
      </c>
      <c r="J207">
        <v>1.9019607843137261</v>
      </c>
      <c r="K207">
        <v>1.803921568627451</v>
      </c>
      <c r="L207">
        <v>6.375</v>
      </c>
      <c r="M207">
        <v>1056</v>
      </c>
      <c r="N207">
        <v>2</v>
      </c>
      <c r="O207">
        <v>3</v>
      </c>
      <c r="P207">
        <v>92</v>
      </c>
      <c r="Q207">
        <v>51</v>
      </c>
      <c r="R207">
        <v>8</v>
      </c>
      <c r="S207">
        <v>10</v>
      </c>
      <c r="T207">
        <v>413</v>
      </c>
      <c r="U207">
        <v>62</v>
      </c>
      <c r="V207">
        <v>6642</v>
      </c>
      <c r="W207">
        <v>97</v>
      </c>
    </row>
    <row r="208" spans="1:23" x14ac:dyDescent="0.2">
      <c r="A208" t="s">
        <v>1020</v>
      </c>
      <c r="B208" t="s">
        <v>158</v>
      </c>
      <c r="C208" t="s">
        <v>159</v>
      </c>
      <c r="D208" t="s">
        <v>159</v>
      </c>
      <c r="E208" t="s">
        <v>159</v>
      </c>
      <c r="F208" t="s">
        <v>159</v>
      </c>
      <c r="G208" t="s">
        <v>159</v>
      </c>
      <c r="H208" t="s">
        <v>159</v>
      </c>
      <c r="I208" t="s">
        <v>159</v>
      </c>
      <c r="J208" t="s">
        <v>159</v>
      </c>
      <c r="K208" t="s">
        <v>159</v>
      </c>
      <c r="L208" t="s">
        <v>159</v>
      </c>
      <c r="M208" t="s">
        <v>159</v>
      </c>
      <c r="N208" t="s">
        <v>159</v>
      </c>
      <c r="O208" t="s">
        <v>159</v>
      </c>
      <c r="P208" t="s">
        <v>159</v>
      </c>
      <c r="Q208" t="s">
        <v>159</v>
      </c>
      <c r="R208" t="s">
        <v>159</v>
      </c>
      <c r="S208" t="s">
        <v>159</v>
      </c>
      <c r="T208" t="s">
        <v>159</v>
      </c>
      <c r="U208" t="s">
        <v>159</v>
      </c>
      <c r="V208" t="s">
        <v>159</v>
      </c>
      <c r="W208" t="s">
        <v>159</v>
      </c>
    </row>
    <row r="209" spans="1:23" x14ac:dyDescent="0.2">
      <c r="A209" t="s">
        <v>1021</v>
      </c>
      <c r="B209" t="s">
        <v>157</v>
      </c>
      <c r="C209">
        <v>1834.461480617523</v>
      </c>
      <c r="D209">
        <v>2417</v>
      </c>
      <c r="E209">
        <v>4149</v>
      </c>
      <c r="F209">
        <v>10</v>
      </c>
      <c r="G209">
        <v>9</v>
      </c>
      <c r="H209">
        <v>0.69811320754716977</v>
      </c>
      <c r="I209">
        <v>1</v>
      </c>
      <c r="J209">
        <v>2</v>
      </c>
      <c r="K209">
        <v>2</v>
      </c>
      <c r="L209">
        <v>5.8888888888888893</v>
      </c>
      <c r="M209">
        <v>8</v>
      </c>
      <c r="N209">
        <v>1</v>
      </c>
      <c r="O209">
        <v>3</v>
      </c>
      <c r="P209">
        <v>106</v>
      </c>
      <c r="Q209">
        <v>53</v>
      </c>
      <c r="R209">
        <v>9</v>
      </c>
      <c r="S209">
        <v>10</v>
      </c>
      <c r="T209">
        <v>424</v>
      </c>
      <c r="U209">
        <v>66</v>
      </c>
      <c r="V209">
        <v>37</v>
      </c>
      <c r="W209">
        <v>106</v>
      </c>
    </row>
    <row r="210" spans="1:23" x14ac:dyDescent="0.2">
      <c r="A210" t="s">
        <v>1022</v>
      </c>
      <c r="B210" t="s">
        <v>157</v>
      </c>
      <c r="C210">
        <v>3.4871094226837158</v>
      </c>
      <c r="D210">
        <v>248</v>
      </c>
      <c r="E210">
        <v>183</v>
      </c>
      <c r="F210">
        <v>8</v>
      </c>
      <c r="G210">
        <v>7</v>
      </c>
      <c r="H210">
        <v>0.6470588235294118</v>
      </c>
      <c r="I210">
        <v>1</v>
      </c>
      <c r="J210">
        <v>1.794117647058824</v>
      </c>
      <c r="K210">
        <v>1.794117647058824</v>
      </c>
      <c r="L210">
        <v>4.8571428571428568</v>
      </c>
      <c r="M210">
        <v>6</v>
      </c>
      <c r="N210">
        <v>1</v>
      </c>
      <c r="O210">
        <v>3</v>
      </c>
      <c r="P210">
        <v>61</v>
      </c>
      <c r="Q210">
        <v>34</v>
      </c>
      <c r="R210">
        <v>7</v>
      </c>
      <c r="S210">
        <v>8</v>
      </c>
      <c r="T210">
        <v>211</v>
      </c>
      <c r="U210">
        <v>38</v>
      </c>
      <c r="V210">
        <v>22</v>
      </c>
      <c r="W210">
        <v>61</v>
      </c>
    </row>
    <row r="211" spans="1:23" x14ac:dyDescent="0.2">
      <c r="A211" t="s">
        <v>1023</v>
      </c>
      <c r="B211" t="s">
        <v>158</v>
      </c>
      <c r="C211" t="s">
        <v>159</v>
      </c>
      <c r="D211" t="s">
        <v>159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  <c r="P211" t="s">
        <v>159</v>
      </c>
      <c r="Q211" t="s">
        <v>159</v>
      </c>
      <c r="R211" t="s">
        <v>159</v>
      </c>
      <c r="S211" t="s">
        <v>159</v>
      </c>
      <c r="T211" t="s">
        <v>159</v>
      </c>
      <c r="U211" t="s">
        <v>159</v>
      </c>
      <c r="V211" t="s">
        <v>159</v>
      </c>
      <c r="W211" t="s">
        <v>159</v>
      </c>
    </row>
    <row r="212" spans="1:23" x14ac:dyDescent="0.2">
      <c r="A212" t="s">
        <v>1024</v>
      </c>
      <c r="B212" t="s">
        <v>157</v>
      </c>
      <c r="C212">
        <v>6943.8515994548798</v>
      </c>
      <c r="D212">
        <v>7846</v>
      </c>
      <c r="E212">
        <v>22504</v>
      </c>
      <c r="F212">
        <v>13</v>
      </c>
      <c r="G212">
        <v>12</v>
      </c>
      <c r="H212">
        <v>5549.304347826087</v>
      </c>
      <c r="I212">
        <v>1.1142857142857141</v>
      </c>
      <c r="J212">
        <v>1.6956521739130439</v>
      </c>
      <c r="K212">
        <v>1.5217391304347829</v>
      </c>
      <c r="L212">
        <v>3.833333333333333</v>
      </c>
      <c r="M212">
        <v>39701</v>
      </c>
      <c r="N212">
        <v>2</v>
      </c>
      <c r="O212">
        <v>5</v>
      </c>
      <c r="P212">
        <v>70</v>
      </c>
      <c r="Q212">
        <v>46</v>
      </c>
      <c r="R212">
        <v>12</v>
      </c>
      <c r="S212">
        <v>25</v>
      </c>
      <c r="T212">
        <v>1072</v>
      </c>
      <c r="U212">
        <v>272</v>
      </c>
      <c r="V212">
        <v>255268</v>
      </c>
      <c r="W212">
        <v>78</v>
      </c>
    </row>
    <row r="213" spans="1:23" x14ac:dyDescent="0.2">
      <c r="A213" t="s">
        <v>1025</v>
      </c>
      <c r="B213" t="s">
        <v>158</v>
      </c>
      <c r="C213" t="s">
        <v>159</v>
      </c>
      <c r="D213" t="s">
        <v>159</v>
      </c>
      <c r="E213" t="s">
        <v>159</v>
      </c>
      <c r="F213" t="s">
        <v>159</v>
      </c>
      <c r="G213" t="s">
        <v>159</v>
      </c>
      <c r="H213" t="s">
        <v>159</v>
      </c>
      <c r="I213" t="s">
        <v>159</v>
      </c>
      <c r="J213" t="s">
        <v>159</v>
      </c>
      <c r="K213" t="s">
        <v>159</v>
      </c>
      <c r="L213" t="s">
        <v>159</v>
      </c>
      <c r="M213" t="s">
        <v>159</v>
      </c>
      <c r="N213" t="s">
        <v>159</v>
      </c>
      <c r="O213" t="s">
        <v>159</v>
      </c>
      <c r="P213" t="s">
        <v>159</v>
      </c>
      <c r="Q213" t="s">
        <v>159</v>
      </c>
      <c r="R213" t="s">
        <v>159</v>
      </c>
      <c r="S213" t="s">
        <v>159</v>
      </c>
      <c r="T213" t="s">
        <v>159</v>
      </c>
      <c r="U213" t="s">
        <v>159</v>
      </c>
      <c r="V213" t="s">
        <v>159</v>
      </c>
      <c r="W213" t="s">
        <v>159</v>
      </c>
    </row>
    <row r="214" spans="1:23" x14ac:dyDescent="0.2">
      <c r="A214" t="s">
        <v>1026</v>
      </c>
      <c r="B214" t="s">
        <v>157</v>
      </c>
      <c r="C214">
        <v>167.2239978313446</v>
      </c>
      <c r="D214">
        <v>940</v>
      </c>
      <c r="E214">
        <v>17182</v>
      </c>
      <c r="F214">
        <v>7</v>
      </c>
      <c r="G214">
        <v>6</v>
      </c>
      <c r="H214">
        <v>3.125E-2</v>
      </c>
      <c r="I214">
        <v>1</v>
      </c>
      <c r="J214">
        <v>2.6875</v>
      </c>
      <c r="K214">
        <v>2.6875</v>
      </c>
      <c r="L214">
        <v>5.333333333333333</v>
      </c>
      <c r="M214">
        <v>1</v>
      </c>
      <c r="N214">
        <v>1</v>
      </c>
      <c r="O214">
        <v>5</v>
      </c>
      <c r="P214">
        <v>86</v>
      </c>
      <c r="Q214">
        <v>32</v>
      </c>
      <c r="R214">
        <v>6</v>
      </c>
      <c r="S214">
        <v>7</v>
      </c>
      <c r="T214">
        <v>138</v>
      </c>
      <c r="U214">
        <v>23</v>
      </c>
      <c r="V214">
        <v>1</v>
      </c>
      <c r="W214">
        <v>86</v>
      </c>
    </row>
    <row r="215" spans="1:23" x14ac:dyDescent="0.2">
      <c r="A215" t="s">
        <v>1027</v>
      </c>
      <c r="B215" t="s">
        <v>158</v>
      </c>
      <c r="C215" t="s">
        <v>159</v>
      </c>
      <c r="D215" t="s">
        <v>159</v>
      </c>
      <c r="E215" t="s">
        <v>159</v>
      </c>
      <c r="F215" t="s">
        <v>159</v>
      </c>
      <c r="G215" t="s">
        <v>159</v>
      </c>
      <c r="H215" t="s">
        <v>159</v>
      </c>
      <c r="I215" t="s">
        <v>159</v>
      </c>
      <c r="J215" t="s">
        <v>159</v>
      </c>
      <c r="K215" t="s">
        <v>159</v>
      </c>
      <c r="L215" t="s">
        <v>159</v>
      </c>
      <c r="M215" t="s">
        <v>159</v>
      </c>
      <c r="N215" t="s">
        <v>159</v>
      </c>
      <c r="O215" t="s">
        <v>159</v>
      </c>
      <c r="P215" t="s">
        <v>159</v>
      </c>
      <c r="Q215" t="s">
        <v>159</v>
      </c>
      <c r="R215" t="s">
        <v>159</v>
      </c>
      <c r="S215" t="s">
        <v>159</v>
      </c>
      <c r="T215" t="s">
        <v>159</v>
      </c>
      <c r="U215" t="s">
        <v>159</v>
      </c>
      <c r="V215" t="s">
        <v>159</v>
      </c>
      <c r="W215" t="s">
        <v>159</v>
      </c>
    </row>
    <row r="216" spans="1:23" x14ac:dyDescent="0.2">
      <c r="A216" t="s">
        <v>1028</v>
      </c>
      <c r="B216" t="s">
        <v>157</v>
      </c>
      <c r="C216">
        <v>10.86873149871826</v>
      </c>
      <c r="D216">
        <v>156</v>
      </c>
      <c r="E216">
        <v>958</v>
      </c>
      <c r="F216">
        <v>8</v>
      </c>
      <c r="G216">
        <v>6</v>
      </c>
      <c r="H216">
        <v>0</v>
      </c>
      <c r="I216">
        <v>1.0574712643678159</v>
      </c>
      <c r="J216">
        <v>2.875</v>
      </c>
      <c r="K216">
        <v>2.71875</v>
      </c>
      <c r="L216">
        <v>5.333333333333333</v>
      </c>
      <c r="M216">
        <v>0</v>
      </c>
      <c r="N216">
        <v>6</v>
      </c>
      <c r="O216">
        <v>5</v>
      </c>
      <c r="P216">
        <v>87</v>
      </c>
      <c r="Q216">
        <v>32</v>
      </c>
      <c r="R216">
        <v>6</v>
      </c>
      <c r="S216">
        <v>13</v>
      </c>
      <c r="T216">
        <v>324</v>
      </c>
      <c r="U216">
        <v>57</v>
      </c>
      <c r="V216">
        <v>0</v>
      </c>
      <c r="W216">
        <v>92</v>
      </c>
    </row>
    <row r="217" spans="1:23" x14ac:dyDescent="0.2">
      <c r="A217" t="s">
        <v>1029</v>
      </c>
      <c r="B217" t="s">
        <v>158</v>
      </c>
      <c r="C217" t="s">
        <v>159</v>
      </c>
      <c r="D217" t="s">
        <v>159</v>
      </c>
      <c r="E217" t="s">
        <v>159</v>
      </c>
      <c r="F217" t="s">
        <v>159</v>
      </c>
      <c r="G217" t="s">
        <v>159</v>
      </c>
      <c r="H217" t="s">
        <v>159</v>
      </c>
      <c r="I217" t="s">
        <v>159</v>
      </c>
      <c r="J217" t="s">
        <v>159</v>
      </c>
      <c r="K217" t="s">
        <v>159</v>
      </c>
      <c r="L217" t="s">
        <v>159</v>
      </c>
      <c r="M217" t="s">
        <v>159</v>
      </c>
      <c r="N217" t="s">
        <v>159</v>
      </c>
      <c r="O217" t="s">
        <v>159</v>
      </c>
      <c r="P217" t="s">
        <v>159</v>
      </c>
      <c r="Q217" t="s">
        <v>159</v>
      </c>
      <c r="R217" t="s">
        <v>159</v>
      </c>
      <c r="S217" t="s">
        <v>159</v>
      </c>
      <c r="T217" t="s">
        <v>159</v>
      </c>
      <c r="U217" t="s">
        <v>159</v>
      </c>
      <c r="V217" t="s">
        <v>159</v>
      </c>
      <c r="W217" t="s">
        <v>159</v>
      </c>
    </row>
    <row r="218" spans="1:23" x14ac:dyDescent="0.2">
      <c r="A218" t="s">
        <v>1030</v>
      </c>
      <c r="B218" t="s">
        <v>158</v>
      </c>
      <c r="C218" t="s">
        <v>159</v>
      </c>
      <c r="D218" t="s">
        <v>159</v>
      </c>
      <c r="E218" t="s">
        <v>159</v>
      </c>
      <c r="F218" t="s">
        <v>159</v>
      </c>
      <c r="G218" t="s">
        <v>159</v>
      </c>
      <c r="H218" t="s">
        <v>159</v>
      </c>
      <c r="I218" t="s">
        <v>159</v>
      </c>
      <c r="J218" t="s">
        <v>159</v>
      </c>
      <c r="K218" t="s">
        <v>159</v>
      </c>
      <c r="L218" t="s">
        <v>159</v>
      </c>
      <c r="M218" t="s">
        <v>159</v>
      </c>
      <c r="N218" t="s">
        <v>159</v>
      </c>
      <c r="O218" t="s">
        <v>159</v>
      </c>
      <c r="P218" t="s">
        <v>159</v>
      </c>
      <c r="Q218" t="s">
        <v>159</v>
      </c>
      <c r="R218" t="s">
        <v>159</v>
      </c>
      <c r="S218" t="s">
        <v>159</v>
      </c>
      <c r="T218" t="s">
        <v>159</v>
      </c>
      <c r="U218" t="s">
        <v>159</v>
      </c>
      <c r="V218" t="s">
        <v>159</v>
      </c>
      <c r="W218" t="s">
        <v>159</v>
      </c>
    </row>
    <row r="219" spans="1:23" x14ac:dyDescent="0.2">
      <c r="A219" t="s">
        <v>1031</v>
      </c>
      <c r="B219" t="s">
        <v>157</v>
      </c>
      <c r="C219">
        <v>220.27086329460141</v>
      </c>
      <c r="D219">
        <v>894</v>
      </c>
      <c r="E219">
        <v>884</v>
      </c>
      <c r="F219">
        <v>9</v>
      </c>
      <c r="G219">
        <v>8</v>
      </c>
      <c r="H219">
        <v>0.67441860465116277</v>
      </c>
      <c r="I219">
        <v>1</v>
      </c>
      <c r="J219">
        <v>1.9069767441860459</v>
      </c>
      <c r="K219">
        <v>1.9069767441860459</v>
      </c>
      <c r="L219">
        <v>5.375</v>
      </c>
      <c r="M219">
        <v>7</v>
      </c>
      <c r="N219">
        <v>1</v>
      </c>
      <c r="O219">
        <v>3</v>
      </c>
      <c r="P219">
        <v>82</v>
      </c>
      <c r="Q219">
        <v>43</v>
      </c>
      <c r="R219">
        <v>8</v>
      </c>
      <c r="S219">
        <v>9</v>
      </c>
      <c r="T219">
        <v>305</v>
      </c>
      <c r="U219">
        <v>51</v>
      </c>
      <c r="V219">
        <v>29</v>
      </c>
      <c r="W219">
        <v>82</v>
      </c>
    </row>
    <row r="220" spans="1:23" x14ac:dyDescent="0.2">
      <c r="A220" t="s">
        <v>1032</v>
      </c>
      <c r="B220" t="s">
        <v>158</v>
      </c>
      <c r="C220" t="s">
        <v>159</v>
      </c>
      <c r="D220" t="s">
        <v>159</v>
      </c>
      <c r="E220" t="s">
        <v>159</v>
      </c>
      <c r="F220" t="s">
        <v>159</v>
      </c>
      <c r="G220" t="s">
        <v>159</v>
      </c>
      <c r="H220" t="s">
        <v>159</v>
      </c>
      <c r="I220" t="s">
        <v>159</v>
      </c>
      <c r="J220" t="s">
        <v>159</v>
      </c>
      <c r="K220" t="s">
        <v>159</v>
      </c>
      <c r="L220" t="s">
        <v>159</v>
      </c>
      <c r="M220" t="s">
        <v>159</v>
      </c>
      <c r="N220" t="s">
        <v>159</v>
      </c>
      <c r="O220" t="s">
        <v>159</v>
      </c>
      <c r="P220" t="s">
        <v>159</v>
      </c>
      <c r="Q220" t="s">
        <v>159</v>
      </c>
      <c r="R220" t="s">
        <v>159</v>
      </c>
      <c r="S220" t="s">
        <v>159</v>
      </c>
      <c r="T220" t="s">
        <v>159</v>
      </c>
      <c r="U220" t="s">
        <v>159</v>
      </c>
      <c r="V220" t="s">
        <v>159</v>
      </c>
      <c r="W220" t="s">
        <v>159</v>
      </c>
    </row>
    <row r="221" spans="1:23" x14ac:dyDescent="0.2">
      <c r="A221" t="s">
        <v>1033</v>
      </c>
      <c r="B221" t="s">
        <v>157</v>
      </c>
      <c r="C221">
        <v>5.5205800533294678</v>
      </c>
      <c r="D221">
        <v>285</v>
      </c>
      <c r="E221">
        <v>225</v>
      </c>
      <c r="F221">
        <v>8</v>
      </c>
      <c r="G221">
        <v>7</v>
      </c>
      <c r="H221">
        <v>0.6470588235294118</v>
      </c>
      <c r="I221">
        <v>1</v>
      </c>
      <c r="J221">
        <v>1.794117647058824</v>
      </c>
      <c r="K221">
        <v>1.794117647058824</v>
      </c>
      <c r="L221">
        <v>4.8571428571428568</v>
      </c>
      <c r="M221">
        <v>6</v>
      </c>
      <c r="N221">
        <v>1</v>
      </c>
      <c r="O221">
        <v>3</v>
      </c>
      <c r="P221">
        <v>61</v>
      </c>
      <c r="Q221">
        <v>34</v>
      </c>
      <c r="R221">
        <v>7</v>
      </c>
      <c r="S221">
        <v>8</v>
      </c>
      <c r="T221">
        <v>211</v>
      </c>
      <c r="U221">
        <v>38</v>
      </c>
      <c r="V221">
        <v>22</v>
      </c>
      <c r="W221">
        <v>61</v>
      </c>
    </row>
    <row r="222" spans="1:23" x14ac:dyDescent="0.2">
      <c r="A222" t="s">
        <v>1034</v>
      </c>
      <c r="B222" t="s">
        <v>157</v>
      </c>
      <c r="C222">
        <v>445.63006782531738</v>
      </c>
      <c r="D222">
        <v>108</v>
      </c>
      <c r="E222">
        <v>4941</v>
      </c>
      <c r="F222">
        <v>7</v>
      </c>
      <c r="G222">
        <v>4</v>
      </c>
      <c r="H222">
        <v>9.3333333333333339</v>
      </c>
      <c r="I222">
        <v>1.141176470588235</v>
      </c>
      <c r="J222">
        <v>4.041666666666667</v>
      </c>
      <c r="K222">
        <v>3.541666666666667</v>
      </c>
      <c r="L222">
        <v>24</v>
      </c>
      <c r="M222">
        <v>24</v>
      </c>
      <c r="N222">
        <v>2</v>
      </c>
      <c r="O222">
        <v>5</v>
      </c>
      <c r="P222">
        <v>340</v>
      </c>
      <c r="Q222">
        <v>96</v>
      </c>
      <c r="R222">
        <v>4</v>
      </c>
      <c r="S222">
        <v>11</v>
      </c>
      <c r="T222">
        <v>668</v>
      </c>
      <c r="U222">
        <v>20</v>
      </c>
      <c r="V222">
        <v>896</v>
      </c>
      <c r="W222">
        <v>388</v>
      </c>
    </row>
    <row r="223" spans="1:23" x14ac:dyDescent="0.2">
      <c r="A223" t="s">
        <v>1035</v>
      </c>
      <c r="B223" t="s">
        <v>157</v>
      </c>
      <c r="C223">
        <v>9.7740612030029297</v>
      </c>
      <c r="D223">
        <v>163</v>
      </c>
      <c r="E223">
        <v>1278</v>
      </c>
      <c r="F223">
        <v>8</v>
      </c>
      <c r="G223">
        <v>6</v>
      </c>
      <c r="H223">
        <v>0</v>
      </c>
      <c r="I223">
        <v>1.0574712643678159</v>
      </c>
      <c r="J223">
        <v>2.875</v>
      </c>
      <c r="K223">
        <v>2.71875</v>
      </c>
      <c r="L223">
        <v>5.333333333333333</v>
      </c>
      <c r="M223">
        <v>0</v>
      </c>
      <c r="N223">
        <v>6</v>
      </c>
      <c r="O223">
        <v>5</v>
      </c>
      <c r="P223">
        <v>87</v>
      </c>
      <c r="Q223">
        <v>32</v>
      </c>
      <c r="R223">
        <v>6</v>
      </c>
      <c r="S223">
        <v>13</v>
      </c>
      <c r="T223">
        <v>324</v>
      </c>
      <c r="U223">
        <v>57</v>
      </c>
      <c r="V223">
        <v>0</v>
      </c>
      <c r="W223">
        <v>92</v>
      </c>
    </row>
    <row r="224" spans="1:23" x14ac:dyDescent="0.2">
      <c r="A224" t="s">
        <v>1036</v>
      </c>
      <c r="B224" t="s">
        <v>157</v>
      </c>
      <c r="C224">
        <v>87.265169382095337</v>
      </c>
      <c r="D224">
        <v>939</v>
      </c>
      <c r="E224">
        <v>994</v>
      </c>
      <c r="F224">
        <v>9</v>
      </c>
      <c r="G224">
        <v>8</v>
      </c>
      <c r="H224">
        <v>0.67441860465116277</v>
      </c>
      <c r="I224">
        <v>1</v>
      </c>
      <c r="J224">
        <v>1.9069767441860459</v>
      </c>
      <c r="K224">
        <v>1.9069767441860459</v>
      </c>
      <c r="L224">
        <v>5.375</v>
      </c>
      <c r="M224">
        <v>7</v>
      </c>
      <c r="N224">
        <v>1</v>
      </c>
      <c r="O224">
        <v>3</v>
      </c>
      <c r="P224">
        <v>82</v>
      </c>
      <c r="Q224">
        <v>43</v>
      </c>
      <c r="R224">
        <v>8</v>
      </c>
      <c r="S224">
        <v>9</v>
      </c>
      <c r="T224">
        <v>305</v>
      </c>
      <c r="U224">
        <v>51</v>
      </c>
      <c r="V224">
        <v>29</v>
      </c>
      <c r="W224">
        <v>82</v>
      </c>
    </row>
    <row r="225" spans="1:23" x14ac:dyDescent="0.2">
      <c r="A225" t="s">
        <v>1037</v>
      </c>
      <c r="B225" t="s">
        <v>157</v>
      </c>
      <c r="C225">
        <v>35.752986669540412</v>
      </c>
      <c r="D225">
        <v>100</v>
      </c>
      <c r="E225">
        <v>3653</v>
      </c>
      <c r="F225">
        <v>7</v>
      </c>
      <c r="G225">
        <v>4</v>
      </c>
      <c r="H225">
        <v>9</v>
      </c>
      <c r="I225">
        <v>1.1481481481481479</v>
      </c>
      <c r="J225">
        <v>3.875</v>
      </c>
      <c r="K225">
        <v>3.375</v>
      </c>
      <c r="L225">
        <v>24</v>
      </c>
      <c r="M225">
        <v>24</v>
      </c>
      <c r="N225">
        <v>2</v>
      </c>
      <c r="O225">
        <v>5</v>
      </c>
      <c r="P225">
        <v>324</v>
      </c>
      <c r="Q225">
        <v>96</v>
      </c>
      <c r="R225">
        <v>4</v>
      </c>
      <c r="S225">
        <v>11</v>
      </c>
      <c r="T225">
        <v>684</v>
      </c>
      <c r="U225">
        <v>20</v>
      </c>
      <c r="V225">
        <v>864</v>
      </c>
      <c r="W225">
        <v>372</v>
      </c>
    </row>
    <row r="226" spans="1:23" x14ac:dyDescent="0.2">
      <c r="A226" t="s">
        <v>1038</v>
      </c>
      <c r="B226" t="s">
        <v>157</v>
      </c>
      <c r="C226">
        <v>7.9318192005157471</v>
      </c>
      <c r="D226">
        <v>648</v>
      </c>
      <c r="E226">
        <v>982</v>
      </c>
      <c r="F226">
        <v>7</v>
      </c>
      <c r="G226">
        <v>7</v>
      </c>
      <c r="H226">
        <v>6.9636363636363638</v>
      </c>
      <c r="I226">
        <v>1.689189189189189</v>
      </c>
      <c r="J226">
        <v>2.2727272727272729</v>
      </c>
      <c r="K226">
        <v>1.3454545454545459</v>
      </c>
      <c r="L226">
        <v>7.8571428571428568</v>
      </c>
      <c r="M226">
        <v>36</v>
      </c>
      <c r="N226">
        <v>4</v>
      </c>
      <c r="O226">
        <v>3</v>
      </c>
      <c r="P226">
        <v>74</v>
      </c>
      <c r="Q226">
        <v>55</v>
      </c>
      <c r="R226">
        <v>7</v>
      </c>
      <c r="S226">
        <v>14</v>
      </c>
      <c r="T226">
        <v>645</v>
      </c>
      <c r="U226">
        <v>74</v>
      </c>
      <c r="V226">
        <v>383</v>
      </c>
      <c r="W226">
        <v>125</v>
      </c>
    </row>
    <row r="227" spans="1:23" x14ac:dyDescent="0.2">
      <c r="A227" t="s">
        <v>1039</v>
      </c>
      <c r="B227" t="s">
        <v>157</v>
      </c>
      <c r="C227">
        <v>56.922746419906623</v>
      </c>
      <c r="D227">
        <v>754</v>
      </c>
      <c r="E227">
        <v>1038</v>
      </c>
      <c r="F227">
        <v>9</v>
      </c>
      <c r="G227">
        <v>8</v>
      </c>
      <c r="H227">
        <v>0.67441860465116277</v>
      </c>
      <c r="I227">
        <v>1</v>
      </c>
      <c r="J227">
        <v>1.9069767441860459</v>
      </c>
      <c r="K227">
        <v>1.9069767441860459</v>
      </c>
      <c r="L227">
        <v>5.375</v>
      </c>
      <c r="M227">
        <v>7</v>
      </c>
      <c r="N227">
        <v>1</v>
      </c>
      <c r="O227">
        <v>3</v>
      </c>
      <c r="P227">
        <v>82</v>
      </c>
      <c r="Q227">
        <v>43</v>
      </c>
      <c r="R227">
        <v>8</v>
      </c>
      <c r="S227">
        <v>9</v>
      </c>
      <c r="T227">
        <v>305</v>
      </c>
      <c r="U227">
        <v>51</v>
      </c>
      <c r="V227">
        <v>29</v>
      </c>
      <c r="W227">
        <v>82</v>
      </c>
    </row>
    <row r="228" spans="1:23" x14ac:dyDescent="0.2">
      <c r="A228" t="s">
        <v>1040</v>
      </c>
      <c r="B228" t="s">
        <v>157</v>
      </c>
      <c r="C228">
        <v>11.590489387512211</v>
      </c>
      <c r="D228">
        <v>329</v>
      </c>
      <c r="E228">
        <v>320</v>
      </c>
      <c r="F228">
        <v>8</v>
      </c>
      <c r="G228">
        <v>7</v>
      </c>
      <c r="H228">
        <v>0.6470588235294118</v>
      </c>
      <c r="I228">
        <v>1</v>
      </c>
      <c r="J228">
        <v>1.794117647058824</v>
      </c>
      <c r="K228">
        <v>1.794117647058824</v>
      </c>
      <c r="L228">
        <v>4.8571428571428568</v>
      </c>
      <c r="M228">
        <v>6</v>
      </c>
      <c r="N228">
        <v>1</v>
      </c>
      <c r="O228">
        <v>3</v>
      </c>
      <c r="P228">
        <v>61</v>
      </c>
      <c r="Q228">
        <v>34</v>
      </c>
      <c r="R228">
        <v>7</v>
      </c>
      <c r="S228">
        <v>8</v>
      </c>
      <c r="T228">
        <v>211</v>
      </c>
      <c r="U228">
        <v>38</v>
      </c>
      <c r="V228">
        <v>22</v>
      </c>
      <c r="W228">
        <v>61</v>
      </c>
    </row>
    <row r="229" spans="1:23" x14ac:dyDescent="0.2">
      <c r="A229" t="s">
        <v>1041</v>
      </c>
      <c r="B229" t="s">
        <v>157</v>
      </c>
      <c r="C229">
        <v>28.92101621627808</v>
      </c>
      <c r="D229">
        <v>490</v>
      </c>
      <c r="E229">
        <v>4400</v>
      </c>
      <c r="F229">
        <v>7</v>
      </c>
      <c r="G229">
        <v>6</v>
      </c>
      <c r="H229">
        <v>3.125E-2</v>
      </c>
      <c r="I229">
        <v>1</v>
      </c>
      <c r="J229">
        <v>2.5625</v>
      </c>
      <c r="K229">
        <v>2.5625</v>
      </c>
      <c r="L229">
        <v>5.333333333333333</v>
      </c>
      <c r="M229">
        <v>1</v>
      </c>
      <c r="N229">
        <v>1</v>
      </c>
      <c r="O229">
        <v>5</v>
      </c>
      <c r="P229">
        <v>82</v>
      </c>
      <c r="Q229">
        <v>32</v>
      </c>
      <c r="R229">
        <v>6</v>
      </c>
      <c r="S229">
        <v>7</v>
      </c>
      <c r="T229">
        <v>142</v>
      </c>
      <c r="U229">
        <v>23</v>
      </c>
      <c r="V229">
        <v>1</v>
      </c>
      <c r="W229">
        <v>82</v>
      </c>
    </row>
    <row r="230" spans="1:23" x14ac:dyDescent="0.2">
      <c r="A230" t="s">
        <v>1042</v>
      </c>
      <c r="B230" t="s">
        <v>157</v>
      </c>
      <c r="C230">
        <v>2232.4547412395482</v>
      </c>
      <c r="D230">
        <v>2647</v>
      </c>
      <c r="E230">
        <v>4630</v>
      </c>
      <c r="F230">
        <v>10</v>
      </c>
      <c r="G230">
        <v>9</v>
      </c>
      <c r="H230">
        <v>0.69811320754716977</v>
      </c>
      <c r="I230">
        <v>1</v>
      </c>
      <c r="J230">
        <v>2</v>
      </c>
      <c r="K230">
        <v>2</v>
      </c>
      <c r="L230">
        <v>5.8888888888888893</v>
      </c>
      <c r="M230">
        <v>8</v>
      </c>
      <c r="N230">
        <v>1</v>
      </c>
      <c r="O230">
        <v>3</v>
      </c>
      <c r="P230">
        <v>106</v>
      </c>
      <c r="Q230">
        <v>53</v>
      </c>
      <c r="R230">
        <v>9</v>
      </c>
      <c r="S230">
        <v>10</v>
      </c>
      <c r="T230">
        <v>424</v>
      </c>
      <c r="U230">
        <v>66</v>
      </c>
      <c r="V230">
        <v>37</v>
      </c>
      <c r="W230">
        <v>106</v>
      </c>
    </row>
    <row r="231" spans="1:23" x14ac:dyDescent="0.2">
      <c r="A231" t="s">
        <v>1043</v>
      </c>
      <c r="B231" t="s">
        <v>157</v>
      </c>
      <c r="C231">
        <v>230.47939658164981</v>
      </c>
      <c r="D231">
        <v>939</v>
      </c>
      <c r="E231">
        <v>13974</v>
      </c>
      <c r="F231">
        <v>7</v>
      </c>
      <c r="G231">
        <v>6</v>
      </c>
      <c r="H231">
        <v>3.125E-2</v>
      </c>
      <c r="I231">
        <v>1</v>
      </c>
      <c r="J231">
        <v>2.6875</v>
      </c>
      <c r="K231">
        <v>2.6875</v>
      </c>
      <c r="L231">
        <v>5.333333333333333</v>
      </c>
      <c r="M231">
        <v>1</v>
      </c>
      <c r="N231">
        <v>1</v>
      </c>
      <c r="O231">
        <v>5</v>
      </c>
      <c r="P231">
        <v>86</v>
      </c>
      <c r="Q231">
        <v>32</v>
      </c>
      <c r="R231">
        <v>6</v>
      </c>
      <c r="S231">
        <v>7</v>
      </c>
      <c r="T231">
        <v>138</v>
      </c>
      <c r="U231">
        <v>23</v>
      </c>
      <c r="V231">
        <v>1</v>
      </c>
      <c r="W231">
        <v>86</v>
      </c>
    </row>
    <row r="232" spans="1:23" x14ac:dyDescent="0.2">
      <c r="A232" t="s">
        <v>1044</v>
      </c>
      <c r="B232" t="s">
        <v>157</v>
      </c>
      <c r="C232">
        <v>133.29929041862491</v>
      </c>
      <c r="D232">
        <v>944</v>
      </c>
      <c r="E232">
        <v>1200</v>
      </c>
      <c r="F232">
        <v>9</v>
      </c>
      <c r="G232">
        <v>8</v>
      </c>
      <c r="H232">
        <v>0.67441860465116277</v>
      </c>
      <c r="I232">
        <v>1</v>
      </c>
      <c r="J232">
        <v>1.9069767441860459</v>
      </c>
      <c r="K232">
        <v>1.9069767441860459</v>
      </c>
      <c r="L232">
        <v>5.375</v>
      </c>
      <c r="M232">
        <v>7</v>
      </c>
      <c r="N232">
        <v>1</v>
      </c>
      <c r="O232">
        <v>3</v>
      </c>
      <c r="P232">
        <v>82</v>
      </c>
      <c r="Q232">
        <v>43</v>
      </c>
      <c r="R232">
        <v>8</v>
      </c>
      <c r="S232">
        <v>9</v>
      </c>
      <c r="T232">
        <v>305</v>
      </c>
      <c r="U232">
        <v>51</v>
      </c>
      <c r="V232">
        <v>29</v>
      </c>
      <c r="W232">
        <v>82</v>
      </c>
    </row>
    <row r="233" spans="1:23" x14ac:dyDescent="0.2">
      <c r="A233" t="s">
        <v>1045</v>
      </c>
      <c r="B233" t="s">
        <v>157</v>
      </c>
      <c r="C233">
        <v>24.537688255310059</v>
      </c>
      <c r="D233">
        <v>615</v>
      </c>
      <c r="E233">
        <v>1854</v>
      </c>
      <c r="F233">
        <v>7</v>
      </c>
      <c r="G233">
        <v>7</v>
      </c>
      <c r="H233">
        <v>7.0727272727272723</v>
      </c>
      <c r="I233">
        <v>1.6710526315789469</v>
      </c>
      <c r="J233">
        <v>2.3090909090909091</v>
      </c>
      <c r="K233">
        <v>1.3818181818181821</v>
      </c>
      <c r="L233">
        <v>7.8571428571428568</v>
      </c>
      <c r="M233">
        <v>36</v>
      </c>
      <c r="N233">
        <v>4</v>
      </c>
      <c r="O233">
        <v>3</v>
      </c>
      <c r="P233">
        <v>76</v>
      </c>
      <c r="Q233">
        <v>55</v>
      </c>
      <c r="R233">
        <v>7</v>
      </c>
      <c r="S233">
        <v>14</v>
      </c>
      <c r="T233">
        <v>643</v>
      </c>
      <c r="U233">
        <v>74</v>
      </c>
      <c r="V233">
        <v>389</v>
      </c>
      <c r="W233">
        <v>127</v>
      </c>
    </row>
    <row r="234" spans="1:23" x14ac:dyDescent="0.2">
      <c r="A234" t="s">
        <v>1046</v>
      </c>
      <c r="B234" t="s">
        <v>158</v>
      </c>
      <c r="C234" t="s">
        <v>159</v>
      </c>
      <c r="D234" t="s">
        <v>159</v>
      </c>
      <c r="E234" t="s">
        <v>159</v>
      </c>
      <c r="F234" t="s">
        <v>159</v>
      </c>
      <c r="G234" t="s">
        <v>159</v>
      </c>
      <c r="H234" t="s">
        <v>159</v>
      </c>
      <c r="I234" t="s">
        <v>159</v>
      </c>
      <c r="J234" t="s">
        <v>159</v>
      </c>
      <c r="K234" t="s">
        <v>159</v>
      </c>
      <c r="L234" t="s">
        <v>159</v>
      </c>
      <c r="M234" t="s">
        <v>159</v>
      </c>
      <c r="N234" t="s">
        <v>159</v>
      </c>
      <c r="O234" t="s">
        <v>159</v>
      </c>
      <c r="P234" t="s">
        <v>159</v>
      </c>
      <c r="Q234" t="s">
        <v>159</v>
      </c>
      <c r="R234" t="s">
        <v>159</v>
      </c>
      <c r="S234" t="s">
        <v>159</v>
      </c>
      <c r="T234" t="s">
        <v>159</v>
      </c>
      <c r="U234" t="s">
        <v>159</v>
      </c>
      <c r="V234" t="s">
        <v>159</v>
      </c>
      <c r="W234" t="s">
        <v>159</v>
      </c>
    </row>
    <row r="235" spans="1:23" x14ac:dyDescent="0.2">
      <c r="A235" t="s">
        <v>1047</v>
      </c>
      <c r="B235" t="s">
        <v>157</v>
      </c>
      <c r="C235">
        <v>7.8788306713104248</v>
      </c>
      <c r="D235">
        <v>288</v>
      </c>
      <c r="E235">
        <v>297</v>
      </c>
      <c r="F235">
        <v>8</v>
      </c>
      <c r="G235">
        <v>7</v>
      </c>
      <c r="H235">
        <v>0.6470588235294118</v>
      </c>
      <c r="I235">
        <v>1</v>
      </c>
      <c r="J235">
        <v>1.794117647058824</v>
      </c>
      <c r="K235">
        <v>1.794117647058824</v>
      </c>
      <c r="L235">
        <v>4.8571428571428568</v>
      </c>
      <c r="M235">
        <v>6</v>
      </c>
      <c r="N235">
        <v>1</v>
      </c>
      <c r="O235">
        <v>3</v>
      </c>
      <c r="P235">
        <v>61</v>
      </c>
      <c r="Q235">
        <v>34</v>
      </c>
      <c r="R235">
        <v>7</v>
      </c>
      <c r="S235">
        <v>8</v>
      </c>
      <c r="T235">
        <v>211</v>
      </c>
      <c r="U235">
        <v>38</v>
      </c>
      <c r="V235">
        <v>22</v>
      </c>
      <c r="W235">
        <v>61</v>
      </c>
    </row>
    <row r="236" spans="1:23" x14ac:dyDescent="0.2">
      <c r="A236" t="s">
        <v>1048</v>
      </c>
      <c r="B236" t="s">
        <v>157</v>
      </c>
      <c r="C236">
        <v>1079.451388835907</v>
      </c>
      <c r="D236">
        <v>2092</v>
      </c>
      <c r="E236">
        <v>4104</v>
      </c>
      <c r="F236">
        <v>10</v>
      </c>
      <c r="G236">
        <v>9</v>
      </c>
      <c r="H236">
        <v>0.69811320754716977</v>
      </c>
      <c r="I236">
        <v>1</v>
      </c>
      <c r="J236">
        <v>2</v>
      </c>
      <c r="K236">
        <v>2</v>
      </c>
      <c r="L236">
        <v>5.8888888888888893</v>
      </c>
      <c r="M236">
        <v>8</v>
      </c>
      <c r="N236">
        <v>1</v>
      </c>
      <c r="O236">
        <v>3</v>
      </c>
      <c r="P236">
        <v>106</v>
      </c>
      <c r="Q236">
        <v>53</v>
      </c>
      <c r="R236">
        <v>9</v>
      </c>
      <c r="S236">
        <v>10</v>
      </c>
      <c r="T236">
        <v>424</v>
      </c>
      <c r="U236">
        <v>66</v>
      </c>
      <c r="V236">
        <v>37</v>
      </c>
      <c r="W236">
        <v>106</v>
      </c>
    </row>
    <row r="237" spans="1:23" x14ac:dyDescent="0.2">
      <c r="A237" t="s">
        <v>1049</v>
      </c>
      <c r="B237" t="s">
        <v>158</v>
      </c>
      <c r="C237" t="s">
        <v>159</v>
      </c>
      <c r="D237" t="s">
        <v>159</v>
      </c>
      <c r="E237" t="s">
        <v>159</v>
      </c>
      <c r="F237" t="s">
        <v>159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 t="s">
        <v>159</v>
      </c>
      <c r="N237" t="s">
        <v>159</v>
      </c>
      <c r="O237" t="s">
        <v>159</v>
      </c>
      <c r="P237" t="s">
        <v>159</v>
      </c>
      <c r="Q237" t="s">
        <v>159</v>
      </c>
      <c r="R237" t="s">
        <v>159</v>
      </c>
      <c r="S237" t="s">
        <v>159</v>
      </c>
      <c r="T237" t="s">
        <v>159</v>
      </c>
      <c r="U237" t="s">
        <v>159</v>
      </c>
      <c r="V237" t="s">
        <v>159</v>
      </c>
      <c r="W237" t="s">
        <v>159</v>
      </c>
    </row>
    <row r="238" spans="1:23" x14ac:dyDescent="0.2">
      <c r="A238" t="s">
        <v>1050</v>
      </c>
      <c r="B238" t="s">
        <v>157</v>
      </c>
      <c r="C238">
        <v>211.36814284324649</v>
      </c>
      <c r="D238">
        <v>597</v>
      </c>
      <c r="E238">
        <v>3819</v>
      </c>
      <c r="F238">
        <v>7</v>
      </c>
      <c r="G238">
        <v>6</v>
      </c>
      <c r="H238">
        <v>6.25E-2</v>
      </c>
      <c r="I238">
        <v>0.98591549295774639</v>
      </c>
      <c r="J238">
        <v>2.1875</v>
      </c>
      <c r="K238">
        <v>2.21875</v>
      </c>
      <c r="L238">
        <v>5.333333333333333</v>
      </c>
      <c r="M238">
        <v>1</v>
      </c>
      <c r="N238">
        <v>1</v>
      </c>
      <c r="O238">
        <v>4</v>
      </c>
      <c r="P238">
        <v>71</v>
      </c>
      <c r="Q238">
        <v>32</v>
      </c>
      <c r="R238">
        <v>6</v>
      </c>
      <c r="S238">
        <v>6</v>
      </c>
      <c r="T238">
        <v>122</v>
      </c>
      <c r="U238">
        <v>19</v>
      </c>
      <c r="V238">
        <v>2</v>
      </c>
      <c r="W238">
        <v>70</v>
      </c>
    </row>
    <row r="239" spans="1:23" x14ac:dyDescent="0.2">
      <c r="A239" t="s">
        <v>1051</v>
      </c>
      <c r="B239" t="s">
        <v>158</v>
      </c>
      <c r="C239" t="s">
        <v>159</v>
      </c>
      <c r="D239" t="s">
        <v>159</v>
      </c>
      <c r="E239" t="s">
        <v>159</v>
      </c>
      <c r="F239" t="s">
        <v>159</v>
      </c>
      <c r="G239" t="s">
        <v>159</v>
      </c>
      <c r="H239" t="s">
        <v>159</v>
      </c>
      <c r="I239" t="s">
        <v>159</v>
      </c>
      <c r="J239" t="s">
        <v>159</v>
      </c>
      <c r="K239" t="s">
        <v>159</v>
      </c>
      <c r="L239" t="s">
        <v>159</v>
      </c>
      <c r="M239" t="s">
        <v>159</v>
      </c>
      <c r="N239" t="s">
        <v>159</v>
      </c>
      <c r="O239" t="s">
        <v>159</v>
      </c>
      <c r="P239" t="s">
        <v>159</v>
      </c>
      <c r="Q239" t="s">
        <v>159</v>
      </c>
      <c r="R239" t="s">
        <v>159</v>
      </c>
      <c r="S239" t="s">
        <v>159</v>
      </c>
      <c r="T239" t="s">
        <v>159</v>
      </c>
      <c r="U239" t="s">
        <v>159</v>
      </c>
      <c r="V239" t="s">
        <v>159</v>
      </c>
      <c r="W239" t="s">
        <v>159</v>
      </c>
    </row>
    <row r="240" spans="1:23" x14ac:dyDescent="0.2">
      <c r="A240" t="s">
        <v>1052</v>
      </c>
      <c r="B240" t="s">
        <v>158</v>
      </c>
      <c r="C240" t="s">
        <v>159</v>
      </c>
      <c r="D240" t="s">
        <v>159</v>
      </c>
      <c r="E240" t="s">
        <v>159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  <c r="L240" t="s">
        <v>159</v>
      </c>
      <c r="M240" t="s">
        <v>159</v>
      </c>
      <c r="N240" t="s">
        <v>159</v>
      </c>
      <c r="O240" t="s">
        <v>159</v>
      </c>
      <c r="P240" t="s">
        <v>159</v>
      </c>
      <c r="Q240" t="s">
        <v>159</v>
      </c>
      <c r="R240" t="s">
        <v>159</v>
      </c>
      <c r="S240" t="s">
        <v>159</v>
      </c>
      <c r="T240" t="s">
        <v>159</v>
      </c>
      <c r="U240" t="s">
        <v>159</v>
      </c>
      <c r="V240" t="s">
        <v>159</v>
      </c>
      <c r="W240" t="s">
        <v>159</v>
      </c>
    </row>
    <row r="241" spans="1:23" x14ac:dyDescent="0.2">
      <c r="A241" t="s">
        <v>1053</v>
      </c>
      <c r="B241" t="s">
        <v>157</v>
      </c>
      <c r="C241">
        <v>39.596362352371223</v>
      </c>
      <c r="D241">
        <v>527</v>
      </c>
      <c r="E241">
        <v>5941</v>
      </c>
      <c r="F241">
        <v>7</v>
      </c>
      <c r="G241">
        <v>6</v>
      </c>
      <c r="H241">
        <v>3.125E-2</v>
      </c>
      <c r="I241">
        <v>1</v>
      </c>
      <c r="J241">
        <v>2.5625</v>
      </c>
      <c r="K241">
        <v>2.5625</v>
      </c>
      <c r="L241">
        <v>5.333333333333333</v>
      </c>
      <c r="M241">
        <v>1</v>
      </c>
      <c r="N241">
        <v>1</v>
      </c>
      <c r="O241">
        <v>5</v>
      </c>
      <c r="P241">
        <v>82</v>
      </c>
      <c r="Q241">
        <v>32</v>
      </c>
      <c r="R241">
        <v>6</v>
      </c>
      <c r="S241">
        <v>7</v>
      </c>
      <c r="T241">
        <v>142</v>
      </c>
      <c r="U241">
        <v>23</v>
      </c>
      <c r="V241">
        <v>1</v>
      </c>
      <c r="W241">
        <v>82</v>
      </c>
    </row>
    <row r="242" spans="1:23" x14ac:dyDescent="0.2">
      <c r="A242" t="s">
        <v>1054</v>
      </c>
      <c r="B242" t="s">
        <v>157</v>
      </c>
      <c r="C242">
        <v>2333.411229133606</v>
      </c>
      <c r="D242">
        <v>2984</v>
      </c>
      <c r="E242">
        <v>13536</v>
      </c>
      <c r="F242">
        <v>9</v>
      </c>
      <c r="G242">
        <v>8</v>
      </c>
      <c r="H242">
        <v>11.95</v>
      </c>
      <c r="I242">
        <v>1.6049382716049381</v>
      </c>
      <c r="J242">
        <v>2.166666666666667</v>
      </c>
      <c r="K242">
        <v>1.35</v>
      </c>
      <c r="L242">
        <v>7.5</v>
      </c>
      <c r="M242">
        <v>332</v>
      </c>
      <c r="N242">
        <v>4</v>
      </c>
      <c r="O242">
        <v>3</v>
      </c>
      <c r="P242">
        <v>81</v>
      </c>
      <c r="Q242">
        <v>60</v>
      </c>
      <c r="R242">
        <v>8</v>
      </c>
      <c r="S242">
        <v>15</v>
      </c>
      <c r="T242">
        <v>770</v>
      </c>
      <c r="U242">
        <v>95</v>
      </c>
      <c r="V242">
        <v>717</v>
      </c>
      <c r="W242">
        <v>130</v>
      </c>
    </row>
    <row r="243" spans="1:23" x14ac:dyDescent="0.2">
      <c r="A243" t="s">
        <v>1055</v>
      </c>
      <c r="B243" t="s">
        <v>158</v>
      </c>
      <c r="C243" t="s">
        <v>159</v>
      </c>
      <c r="D243" t="s">
        <v>159</v>
      </c>
      <c r="E243" t="s">
        <v>159</v>
      </c>
      <c r="F243" t="s">
        <v>159</v>
      </c>
      <c r="G243" t="s">
        <v>159</v>
      </c>
      <c r="H243" t="s">
        <v>159</v>
      </c>
      <c r="I243" t="s">
        <v>159</v>
      </c>
      <c r="J243" t="s">
        <v>159</v>
      </c>
      <c r="K243" t="s">
        <v>159</v>
      </c>
      <c r="L243" t="s">
        <v>159</v>
      </c>
      <c r="M243" t="s">
        <v>159</v>
      </c>
      <c r="N243" t="s">
        <v>159</v>
      </c>
      <c r="O243" t="s">
        <v>159</v>
      </c>
      <c r="P243" t="s">
        <v>159</v>
      </c>
      <c r="Q243" t="s">
        <v>159</v>
      </c>
      <c r="R243" t="s">
        <v>159</v>
      </c>
      <c r="S243" t="s">
        <v>159</v>
      </c>
      <c r="T243" t="s">
        <v>159</v>
      </c>
      <c r="U243" t="s">
        <v>159</v>
      </c>
      <c r="V243" t="s">
        <v>159</v>
      </c>
      <c r="W243" t="s">
        <v>159</v>
      </c>
    </row>
    <row r="244" spans="1:23" x14ac:dyDescent="0.2">
      <c r="A244" t="s">
        <v>1056</v>
      </c>
      <c r="B244" t="s">
        <v>157</v>
      </c>
      <c r="C244">
        <v>8.4575920104980469</v>
      </c>
      <c r="D244">
        <v>251</v>
      </c>
      <c r="E244">
        <v>302</v>
      </c>
      <c r="F244">
        <v>9</v>
      </c>
      <c r="G244">
        <v>8</v>
      </c>
      <c r="H244">
        <v>51.568627450980387</v>
      </c>
      <c r="I244">
        <v>1.0543478260869561</v>
      </c>
      <c r="J244">
        <v>1.9019607843137261</v>
      </c>
      <c r="K244">
        <v>1.803921568627451</v>
      </c>
      <c r="L244">
        <v>6.375</v>
      </c>
      <c r="M244">
        <v>284</v>
      </c>
      <c r="N244">
        <v>2</v>
      </c>
      <c r="O244">
        <v>3</v>
      </c>
      <c r="P244">
        <v>92</v>
      </c>
      <c r="Q244">
        <v>51</v>
      </c>
      <c r="R244">
        <v>8</v>
      </c>
      <c r="S244">
        <v>10</v>
      </c>
      <c r="T244">
        <v>413</v>
      </c>
      <c r="U244">
        <v>62</v>
      </c>
      <c r="V244">
        <v>2630</v>
      </c>
      <c r="W244">
        <v>97</v>
      </c>
    </row>
    <row r="245" spans="1:23" x14ac:dyDescent="0.2">
      <c r="A245" t="s">
        <v>1057</v>
      </c>
      <c r="B245" t="s">
        <v>157</v>
      </c>
      <c r="C245">
        <v>32.191869497299187</v>
      </c>
      <c r="D245">
        <v>57</v>
      </c>
      <c r="E245">
        <v>2580</v>
      </c>
      <c r="F245">
        <v>7</v>
      </c>
      <c r="G245">
        <v>4</v>
      </c>
      <c r="H245">
        <v>9</v>
      </c>
      <c r="I245">
        <v>1.1481481481481479</v>
      </c>
      <c r="J245">
        <v>3.875</v>
      </c>
      <c r="K245">
        <v>3.375</v>
      </c>
      <c r="L245">
        <v>24</v>
      </c>
      <c r="M245">
        <v>24</v>
      </c>
      <c r="N245">
        <v>2</v>
      </c>
      <c r="O245">
        <v>5</v>
      </c>
      <c r="P245">
        <v>324</v>
      </c>
      <c r="Q245">
        <v>96</v>
      </c>
      <c r="R245">
        <v>4</v>
      </c>
      <c r="S245">
        <v>11</v>
      </c>
      <c r="T245">
        <v>684</v>
      </c>
      <c r="U245">
        <v>20</v>
      </c>
      <c r="V245">
        <v>864</v>
      </c>
      <c r="W245">
        <v>372</v>
      </c>
    </row>
    <row r="246" spans="1:23" x14ac:dyDescent="0.2">
      <c r="A246" t="s">
        <v>1058</v>
      </c>
      <c r="B246" t="s">
        <v>157</v>
      </c>
      <c r="C246">
        <v>2034.9591248035431</v>
      </c>
      <c r="D246">
        <v>2810</v>
      </c>
      <c r="E246">
        <v>5158</v>
      </c>
      <c r="F246">
        <v>10</v>
      </c>
      <c r="G246">
        <v>9</v>
      </c>
      <c r="H246">
        <v>0.69811320754716977</v>
      </c>
      <c r="I246">
        <v>1</v>
      </c>
      <c r="J246">
        <v>2</v>
      </c>
      <c r="K246">
        <v>2</v>
      </c>
      <c r="L246">
        <v>5.8888888888888893</v>
      </c>
      <c r="M246">
        <v>8</v>
      </c>
      <c r="N246">
        <v>1</v>
      </c>
      <c r="O246">
        <v>3</v>
      </c>
      <c r="P246">
        <v>106</v>
      </c>
      <c r="Q246">
        <v>53</v>
      </c>
      <c r="R246">
        <v>9</v>
      </c>
      <c r="S246">
        <v>10</v>
      </c>
      <c r="T246">
        <v>424</v>
      </c>
      <c r="U246">
        <v>66</v>
      </c>
      <c r="V246">
        <v>37</v>
      </c>
      <c r="W246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3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1059</v>
      </c>
      <c r="B2" t="s">
        <v>158</v>
      </c>
      <c r="C2" t="s">
        <v>159</v>
      </c>
      <c r="D2" t="s">
        <v>159</v>
      </c>
      <c r="E2" t="s">
        <v>159</v>
      </c>
      <c r="F2" t="s">
        <v>159</v>
      </c>
      <c r="G2" t="s">
        <v>159</v>
      </c>
      <c r="H2" t="s">
        <v>159</v>
      </c>
      <c r="I2" t="s">
        <v>159</v>
      </c>
      <c r="J2" t="s">
        <v>159</v>
      </c>
      <c r="K2" t="s">
        <v>159</v>
      </c>
      <c r="L2" t="s">
        <v>159</v>
      </c>
      <c r="M2" t="s">
        <v>159</v>
      </c>
      <c r="N2" t="s">
        <v>159</v>
      </c>
      <c r="O2" t="s">
        <v>159</v>
      </c>
      <c r="P2" t="s">
        <v>159</v>
      </c>
      <c r="Q2" t="s">
        <v>159</v>
      </c>
      <c r="R2" t="s">
        <v>159</v>
      </c>
      <c r="S2" t="s">
        <v>159</v>
      </c>
      <c r="T2" t="s">
        <v>159</v>
      </c>
      <c r="U2" t="s">
        <v>159</v>
      </c>
      <c r="V2" t="s">
        <v>159</v>
      </c>
      <c r="W2" t="s">
        <v>159</v>
      </c>
    </row>
    <row r="3" spans="1:23" x14ac:dyDescent="0.2">
      <c r="A3" t="s">
        <v>1060</v>
      </c>
      <c r="B3" t="s">
        <v>157</v>
      </c>
      <c r="C3">
        <v>79.118096590042114</v>
      </c>
      <c r="D3">
        <v>374</v>
      </c>
      <c r="E3">
        <v>1932</v>
      </c>
      <c r="F3">
        <v>7</v>
      </c>
      <c r="G3">
        <v>6</v>
      </c>
      <c r="H3">
        <v>6.25E-2</v>
      </c>
      <c r="I3">
        <v>0.98611111111111116</v>
      </c>
      <c r="J3">
        <v>2.21875</v>
      </c>
      <c r="K3">
        <v>2.25</v>
      </c>
      <c r="L3">
        <v>5.333333333333333</v>
      </c>
      <c r="M3">
        <v>1</v>
      </c>
      <c r="N3">
        <v>1</v>
      </c>
      <c r="O3">
        <v>4</v>
      </c>
      <c r="P3">
        <v>72</v>
      </c>
      <c r="Q3">
        <v>32</v>
      </c>
      <c r="R3">
        <v>6</v>
      </c>
      <c r="S3">
        <v>6</v>
      </c>
      <c r="T3">
        <v>121</v>
      </c>
      <c r="U3">
        <v>20</v>
      </c>
      <c r="V3">
        <v>2</v>
      </c>
      <c r="W3">
        <v>71</v>
      </c>
    </row>
    <row r="4" spans="1:23" x14ac:dyDescent="0.2">
      <c r="A4" t="s">
        <v>1061</v>
      </c>
      <c r="B4" t="s">
        <v>157</v>
      </c>
      <c r="C4">
        <v>568.84167838096619</v>
      </c>
      <c r="D4">
        <v>442</v>
      </c>
      <c r="E4">
        <v>4605</v>
      </c>
      <c r="F4">
        <v>7</v>
      </c>
      <c r="G4">
        <v>6</v>
      </c>
      <c r="H4">
        <v>7.1428571428571425E-2</v>
      </c>
      <c r="I4">
        <v>1.1851851851851849</v>
      </c>
      <c r="J4">
        <v>2.285714285714286</v>
      </c>
      <c r="K4">
        <v>1.928571428571429</v>
      </c>
      <c r="L4">
        <v>4.666666666666667</v>
      </c>
      <c r="M4">
        <v>1</v>
      </c>
      <c r="N4">
        <v>5</v>
      </c>
      <c r="O4">
        <v>4</v>
      </c>
      <c r="P4">
        <v>54</v>
      </c>
      <c r="Q4">
        <v>28</v>
      </c>
      <c r="R4">
        <v>6</v>
      </c>
      <c r="S4">
        <v>11</v>
      </c>
      <c r="T4">
        <v>244</v>
      </c>
      <c r="U4">
        <v>49</v>
      </c>
      <c r="V4">
        <v>2</v>
      </c>
      <c r="W4">
        <v>64</v>
      </c>
    </row>
    <row r="5" spans="1:23" x14ac:dyDescent="0.2">
      <c r="A5" t="s">
        <v>1062</v>
      </c>
      <c r="B5" t="s">
        <v>158</v>
      </c>
      <c r="C5" t="s">
        <v>159</v>
      </c>
      <c r="D5" t="s">
        <v>159</v>
      </c>
      <c r="E5" t="s">
        <v>159</v>
      </c>
      <c r="F5" t="s">
        <v>159</v>
      </c>
      <c r="G5" t="s">
        <v>159</v>
      </c>
      <c r="H5" t="s">
        <v>159</v>
      </c>
      <c r="I5" t="s">
        <v>159</v>
      </c>
      <c r="J5" t="s">
        <v>159</v>
      </c>
      <c r="K5" t="s">
        <v>159</v>
      </c>
      <c r="L5" t="s">
        <v>159</v>
      </c>
      <c r="M5" t="s">
        <v>159</v>
      </c>
      <c r="N5" t="s">
        <v>159</v>
      </c>
      <c r="O5" t="s">
        <v>159</v>
      </c>
      <c r="P5" t="s">
        <v>159</v>
      </c>
      <c r="Q5" t="s">
        <v>159</v>
      </c>
      <c r="R5" t="s">
        <v>159</v>
      </c>
      <c r="S5" t="s">
        <v>159</v>
      </c>
      <c r="T5" t="s">
        <v>159</v>
      </c>
      <c r="U5" t="s">
        <v>159</v>
      </c>
      <c r="V5" t="s">
        <v>159</v>
      </c>
      <c r="W5" t="s">
        <v>159</v>
      </c>
    </row>
    <row r="6" spans="1:23" x14ac:dyDescent="0.2">
      <c r="A6" t="s">
        <v>1063</v>
      </c>
      <c r="B6" t="s">
        <v>157</v>
      </c>
      <c r="C6">
        <v>65.071698904037476</v>
      </c>
      <c r="D6">
        <v>702</v>
      </c>
      <c r="E6">
        <v>6777</v>
      </c>
      <c r="F6">
        <v>7</v>
      </c>
      <c r="G6">
        <v>6</v>
      </c>
      <c r="H6">
        <v>3.125E-2</v>
      </c>
      <c r="I6">
        <v>1</v>
      </c>
      <c r="J6">
        <v>2.625</v>
      </c>
      <c r="K6">
        <v>2.625</v>
      </c>
      <c r="L6">
        <v>5.333333333333333</v>
      </c>
      <c r="M6">
        <v>1</v>
      </c>
      <c r="N6">
        <v>1</v>
      </c>
      <c r="O6">
        <v>5</v>
      </c>
      <c r="P6">
        <v>84</v>
      </c>
      <c r="Q6">
        <v>32</v>
      </c>
      <c r="R6">
        <v>6</v>
      </c>
      <c r="S6">
        <v>7</v>
      </c>
      <c r="T6">
        <v>140</v>
      </c>
      <c r="U6">
        <v>24</v>
      </c>
      <c r="V6">
        <v>1</v>
      </c>
      <c r="W6">
        <v>84</v>
      </c>
    </row>
    <row r="7" spans="1:23" x14ac:dyDescent="0.2">
      <c r="A7" t="s">
        <v>1064</v>
      </c>
      <c r="B7" t="s">
        <v>157</v>
      </c>
      <c r="C7">
        <v>252.10278367996219</v>
      </c>
      <c r="D7">
        <v>142</v>
      </c>
      <c r="E7">
        <v>7044</v>
      </c>
      <c r="F7">
        <v>7</v>
      </c>
      <c r="G7">
        <v>4</v>
      </c>
      <c r="H7">
        <v>9.1666666666666661</v>
      </c>
      <c r="I7">
        <v>1.1481481481481479</v>
      </c>
      <c r="J7">
        <v>3.875</v>
      </c>
      <c r="K7">
        <v>3.375</v>
      </c>
      <c r="L7">
        <v>24</v>
      </c>
      <c r="M7">
        <v>24</v>
      </c>
      <c r="N7">
        <v>2</v>
      </c>
      <c r="O7">
        <v>5</v>
      </c>
      <c r="P7">
        <v>324</v>
      </c>
      <c r="Q7">
        <v>96</v>
      </c>
      <c r="R7">
        <v>4</v>
      </c>
      <c r="S7">
        <v>11</v>
      </c>
      <c r="T7">
        <v>684</v>
      </c>
      <c r="U7">
        <v>20</v>
      </c>
      <c r="V7">
        <v>880</v>
      </c>
      <c r="W7">
        <v>372</v>
      </c>
    </row>
    <row r="8" spans="1:23" x14ac:dyDescent="0.2">
      <c r="A8" t="s">
        <v>1065</v>
      </c>
      <c r="B8" t="s">
        <v>157</v>
      </c>
      <c r="C8">
        <v>17.042021989822391</v>
      </c>
      <c r="D8">
        <v>832</v>
      </c>
      <c r="E8">
        <v>1576</v>
      </c>
      <c r="F8">
        <v>7</v>
      </c>
      <c r="G8">
        <v>7</v>
      </c>
      <c r="H8">
        <v>7.0727272727272723</v>
      </c>
      <c r="I8">
        <v>1.68</v>
      </c>
      <c r="J8">
        <v>2.290909090909091</v>
      </c>
      <c r="K8">
        <v>1.363636363636364</v>
      </c>
      <c r="L8">
        <v>7.8571428571428568</v>
      </c>
      <c r="M8">
        <v>36</v>
      </c>
      <c r="N8">
        <v>4</v>
      </c>
      <c r="O8">
        <v>3</v>
      </c>
      <c r="P8">
        <v>75</v>
      </c>
      <c r="Q8">
        <v>55</v>
      </c>
      <c r="R8">
        <v>7</v>
      </c>
      <c r="S8">
        <v>14</v>
      </c>
      <c r="T8">
        <v>644</v>
      </c>
      <c r="U8">
        <v>74</v>
      </c>
      <c r="V8">
        <v>389</v>
      </c>
      <c r="W8">
        <v>126</v>
      </c>
    </row>
    <row r="9" spans="1:23" x14ac:dyDescent="0.2">
      <c r="A9" t="s">
        <v>1066</v>
      </c>
      <c r="B9" t="s">
        <v>157</v>
      </c>
      <c r="C9">
        <v>10.52615141868591</v>
      </c>
      <c r="D9">
        <v>234</v>
      </c>
      <c r="E9">
        <v>2047</v>
      </c>
      <c r="F9">
        <v>8</v>
      </c>
      <c r="G9">
        <v>6</v>
      </c>
      <c r="H9">
        <v>0</v>
      </c>
      <c r="I9">
        <v>1.0588235294117649</v>
      </c>
      <c r="J9">
        <v>2.8125</v>
      </c>
      <c r="K9">
        <v>2.65625</v>
      </c>
      <c r="L9">
        <v>5.333333333333333</v>
      </c>
      <c r="M9">
        <v>0</v>
      </c>
      <c r="N9">
        <v>6</v>
      </c>
      <c r="O9">
        <v>5</v>
      </c>
      <c r="P9">
        <v>85</v>
      </c>
      <c r="Q9">
        <v>32</v>
      </c>
      <c r="R9">
        <v>6</v>
      </c>
      <c r="S9">
        <v>13</v>
      </c>
      <c r="T9">
        <v>326</v>
      </c>
      <c r="U9">
        <v>57</v>
      </c>
      <c r="V9">
        <v>0</v>
      </c>
      <c r="W9">
        <v>90</v>
      </c>
    </row>
    <row r="10" spans="1:23" x14ac:dyDescent="0.2">
      <c r="A10" t="s">
        <v>1067</v>
      </c>
      <c r="B10" t="s">
        <v>157</v>
      </c>
      <c r="C10">
        <v>38.346747398376458</v>
      </c>
      <c r="D10">
        <v>553</v>
      </c>
      <c r="E10">
        <v>4066</v>
      </c>
      <c r="F10">
        <v>7</v>
      </c>
      <c r="G10">
        <v>6</v>
      </c>
      <c r="H10">
        <v>3.125E-2</v>
      </c>
      <c r="I10">
        <v>1</v>
      </c>
      <c r="J10">
        <v>2.625</v>
      </c>
      <c r="K10">
        <v>2.625</v>
      </c>
      <c r="L10">
        <v>5.333333333333333</v>
      </c>
      <c r="M10">
        <v>1</v>
      </c>
      <c r="N10">
        <v>1</v>
      </c>
      <c r="O10">
        <v>5</v>
      </c>
      <c r="P10">
        <v>84</v>
      </c>
      <c r="Q10">
        <v>32</v>
      </c>
      <c r="R10">
        <v>6</v>
      </c>
      <c r="S10">
        <v>7</v>
      </c>
      <c r="T10">
        <v>140</v>
      </c>
      <c r="U10">
        <v>24</v>
      </c>
      <c r="V10">
        <v>1</v>
      </c>
      <c r="W10">
        <v>84</v>
      </c>
    </row>
    <row r="11" spans="1:23" x14ac:dyDescent="0.2">
      <c r="A11" t="s">
        <v>1068</v>
      </c>
      <c r="B11" t="s">
        <v>157</v>
      </c>
      <c r="C11">
        <v>49.924141645431519</v>
      </c>
      <c r="D11">
        <v>65</v>
      </c>
      <c r="E11">
        <v>3414</v>
      </c>
      <c r="F11">
        <v>7</v>
      </c>
      <c r="G11">
        <v>4</v>
      </c>
      <c r="H11">
        <v>9.3333333333333339</v>
      </c>
      <c r="I11">
        <v>1.142857142857143</v>
      </c>
      <c r="J11">
        <v>4</v>
      </c>
      <c r="K11">
        <v>3.5</v>
      </c>
      <c r="L11">
        <v>24</v>
      </c>
      <c r="M11">
        <v>24</v>
      </c>
      <c r="N11">
        <v>2</v>
      </c>
      <c r="O11">
        <v>5</v>
      </c>
      <c r="P11">
        <v>336</v>
      </c>
      <c r="Q11">
        <v>96</v>
      </c>
      <c r="R11">
        <v>4</v>
      </c>
      <c r="S11">
        <v>11</v>
      </c>
      <c r="T11">
        <v>672</v>
      </c>
      <c r="U11">
        <v>20</v>
      </c>
      <c r="V11">
        <v>896</v>
      </c>
      <c r="W11">
        <v>384</v>
      </c>
    </row>
    <row r="12" spans="1:23" x14ac:dyDescent="0.2">
      <c r="A12" t="s">
        <v>1069</v>
      </c>
      <c r="B12" t="s">
        <v>157</v>
      </c>
      <c r="C12">
        <v>5.2283344268798828</v>
      </c>
      <c r="D12">
        <v>170</v>
      </c>
      <c r="E12">
        <v>1357</v>
      </c>
      <c r="F12">
        <v>8</v>
      </c>
      <c r="G12">
        <v>6</v>
      </c>
      <c r="H12">
        <v>0</v>
      </c>
      <c r="I12">
        <v>1.0568181818181821</v>
      </c>
      <c r="J12">
        <v>2.90625</v>
      </c>
      <c r="K12">
        <v>2.75</v>
      </c>
      <c r="L12">
        <v>5.333333333333333</v>
      </c>
      <c r="M12">
        <v>0</v>
      </c>
      <c r="N12">
        <v>6</v>
      </c>
      <c r="O12">
        <v>5</v>
      </c>
      <c r="P12">
        <v>88</v>
      </c>
      <c r="Q12">
        <v>32</v>
      </c>
      <c r="R12">
        <v>6</v>
      </c>
      <c r="S12">
        <v>13</v>
      </c>
      <c r="T12">
        <v>323</v>
      </c>
      <c r="U12">
        <v>57</v>
      </c>
      <c r="V12">
        <v>0</v>
      </c>
      <c r="W12">
        <v>93</v>
      </c>
    </row>
    <row r="13" spans="1:23" x14ac:dyDescent="0.2">
      <c r="A13" t="s">
        <v>1070</v>
      </c>
      <c r="B13" t="s">
        <v>157</v>
      </c>
      <c r="C13">
        <v>540.4710910320282</v>
      </c>
      <c r="D13">
        <v>348</v>
      </c>
      <c r="E13">
        <v>2508</v>
      </c>
      <c r="F13">
        <v>7</v>
      </c>
      <c r="G13">
        <v>6</v>
      </c>
      <c r="H13">
        <v>7.1428571428571425E-2</v>
      </c>
      <c r="I13">
        <v>1.1851851851851849</v>
      </c>
      <c r="J13">
        <v>2.285714285714286</v>
      </c>
      <c r="K13">
        <v>1.928571428571429</v>
      </c>
      <c r="L13">
        <v>4.666666666666667</v>
      </c>
      <c r="M13">
        <v>1</v>
      </c>
      <c r="N13">
        <v>5</v>
      </c>
      <c r="O13">
        <v>4</v>
      </c>
      <c r="P13">
        <v>54</v>
      </c>
      <c r="Q13">
        <v>28</v>
      </c>
      <c r="R13">
        <v>6</v>
      </c>
      <c r="S13">
        <v>11</v>
      </c>
      <c r="T13">
        <v>244</v>
      </c>
      <c r="U13">
        <v>49</v>
      </c>
      <c r="V13">
        <v>2</v>
      </c>
      <c r="W13">
        <v>64</v>
      </c>
    </row>
    <row r="14" spans="1:23" x14ac:dyDescent="0.2">
      <c r="A14" t="s">
        <v>1071</v>
      </c>
      <c r="B14" t="s">
        <v>157</v>
      </c>
      <c r="C14">
        <v>329.02036142349237</v>
      </c>
      <c r="D14">
        <v>114</v>
      </c>
      <c r="E14">
        <v>6424</v>
      </c>
      <c r="F14">
        <v>7</v>
      </c>
      <c r="G14">
        <v>4</v>
      </c>
      <c r="H14">
        <v>9.3333333333333339</v>
      </c>
      <c r="I14">
        <v>1.142857142857143</v>
      </c>
      <c r="J14">
        <v>4</v>
      </c>
      <c r="K14">
        <v>3.5</v>
      </c>
      <c r="L14">
        <v>24</v>
      </c>
      <c r="M14">
        <v>24</v>
      </c>
      <c r="N14">
        <v>2</v>
      </c>
      <c r="O14">
        <v>5</v>
      </c>
      <c r="P14">
        <v>336</v>
      </c>
      <c r="Q14">
        <v>96</v>
      </c>
      <c r="R14">
        <v>4</v>
      </c>
      <c r="S14">
        <v>11</v>
      </c>
      <c r="T14">
        <v>672</v>
      </c>
      <c r="U14">
        <v>20</v>
      </c>
      <c r="V14">
        <v>896</v>
      </c>
      <c r="W14">
        <v>384</v>
      </c>
    </row>
    <row r="15" spans="1:23" x14ac:dyDescent="0.2">
      <c r="A15" t="s">
        <v>1072</v>
      </c>
      <c r="B15" t="s">
        <v>157</v>
      </c>
      <c r="C15">
        <v>23.878616571426392</v>
      </c>
      <c r="D15">
        <v>407</v>
      </c>
      <c r="E15">
        <v>2226</v>
      </c>
      <c r="F15">
        <v>7</v>
      </c>
      <c r="G15">
        <v>6</v>
      </c>
      <c r="H15">
        <v>3.125E-2</v>
      </c>
      <c r="I15">
        <v>1</v>
      </c>
      <c r="J15">
        <v>2.71875</v>
      </c>
      <c r="K15">
        <v>2.71875</v>
      </c>
      <c r="L15">
        <v>5.333333333333333</v>
      </c>
      <c r="M15">
        <v>1</v>
      </c>
      <c r="N15">
        <v>1</v>
      </c>
      <c r="O15">
        <v>5</v>
      </c>
      <c r="P15">
        <v>87</v>
      </c>
      <c r="Q15">
        <v>32</v>
      </c>
      <c r="R15">
        <v>6</v>
      </c>
      <c r="S15">
        <v>7</v>
      </c>
      <c r="T15">
        <v>137</v>
      </c>
      <c r="U15">
        <v>24</v>
      </c>
      <c r="V15">
        <v>1</v>
      </c>
      <c r="W15">
        <v>87</v>
      </c>
    </row>
    <row r="16" spans="1:23" x14ac:dyDescent="0.2">
      <c r="A16" t="s">
        <v>1073</v>
      </c>
      <c r="B16" t="s">
        <v>158</v>
      </c>
      <c r="C16" t="s">
        <v>159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  <c r="I16" t="s">
        <v>159</v>
      </c>
      <c r="J16" t="s">
        <v>159</v>
      </c>
      <c r="K16" t="s">
        <v>159</v>
      </c>
      <c r="L16" t="s">
        <v>159</v>
      </c>
      <c r="M16" t="s">
        <v>159</v>
      </c>
      <c r="N16" t="s">
        <v>159</v>
      </c>
      <c r="O16" t="s">
        <v>159</v>
      </c>
      <c r="P16" t="s">
        <v>159</v>
      </c>
      <c r="Q16" t="s">
        <v>159</v>
      </c>
      <c r="R16" t="s">
        <v>159</v>
      </c>
      <c r="S16" t="s">
        <v>159</v>
      </c>
      <c r="T16" t="s">
        <v>159</v>
      </c>
      <c r="U16" t="s">
        <v>159</v>
      </c>
      <c r="V16" t="s">
        <v>159</v>
      </c>
      <c r="W16" t="s">
        <v>159</v>
      </c>
    </row>
    <row r="17" spans="1:23" x14ac:dyDescent="0.2">
      <c r="A17" t="s">
        <v>1074</v>
      </c>
      <c r="B17" t="s">
        <v>158</v>
      </c>
      <c r="C17" t="s">
        <v>159</v>
      </c>
      <c r="D17" t="s">
        <v>159</v>
      </c>
      <c r="E17" t="s">
        <v>159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  <c r="K17" t="s">
        <v>159</v>
      </c>
      <c r="L17" t="s">
        <v>159</v>
      </c>
      <c r="M17" t="s">
        <v>159</v>
      </c>
      <c r="N17" t="s">
        <v>159</v>
      </c>
      <c r="O17" t="s">
        <v>159</v>
      </c>
      <c r="P17" t="s">
        <v>159</v>
      </c>
      <c r="Q17" t="s">
        <v>159</v>
      </c>
      <c r="R17" t="s">
        <v>159</v>
      </c>
      <c r="S17" t="s">
        <v>159</v>
      </c>
      <c r="T17" t="s">
        <v>159</v>
      </c>
      <c r="U17" t="s">
        <v>159</v>
      </c>
      <c r="V17" t="s">
        <v>159</v>
      </c>
      <c r="W17" t="s">
        <v>159</v>
      </c>
    </row>
    <row r="18" spans="1:23" x14ac:dyDescent="0.2">
      <c r="A18" t="s">
        <v>1075</v>
      </c>
      <c r="B18" t="s">
        <v>158</v>
      </c>
      <c r="C18" t="s">
        <v>159</v>
      </c>
      <c r="D18" t="s">
        <v>159</v>
      </c>
      <c r="E18" t="s">
        <v>159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  <c r="O18" t="s">
        <v>159</v>
      </c>
      <c r="P18" t="s">
        <v>159</v>
      </c>
      <c r="Q18" t="s">
        <v>159</v>
      </c>
      <c r="R18" t="s">
        <v>159</v>
      </c>
      <c r="S18" t="s">
        <v>159</v>
      </c>
      <c r="T18" t="s">
        <v>159</v>
      </c>
      <c r="U18" t="s">
        <v>159</v>
      </c>
      <c r="V18" t="s">
        <v>159</v>
      </c>
      <c r="W18" t="s">
        <v>159</v>
      </c>
    </row>
    <row r="19" spans="1:23" x14ac:dyDescent="0.2">
      <c r="A19" t="s">
        <v>1076</v>
      </c>
      <c r="B19" t="s">
        <v>157</v>
      </c>
      <c r="C19">
        <v>4.0868399143218994</v>
      </c>
      <c r="D19">
        <v>177</v>
      </c>
      <c r="E19">
        <v>1531</v>
      </c>
      <c r="F19">
        <v>8</v>
      </c>
      <c r="G19">
        <v>6</v>
      </c>
      <c r="H19">
        <v>0</v>
      </c>
      <c r="I19">
        <v>1.0568181818181821</v>
      </c>
      <c r="J19">
        <v>2.90625</v>
      </c>
      <c r="K19">
        <v>2.75</v>
      </c>
      <c r="L19">
        <v>5.333333333333333</v>
      </c>
      <c r="M19">
        <v>0</v>
      </c>
      <c r="N19">
        <v>6</v>
      </c>
      <c r="O19">
        <v>5</v>
      </c>
      <c r="P19">
        <v>88</v>
      </c>
      <c r="Q19">
        <v>32</v>
      </c>
      <c r="R19">
        <v>6</v>
      </c>
      <c r="S19">
        <v>13</v>
      </c>
      <c r="T19">
        <v>323</v>
      </c>
      <c r="U19">
        <v>57</v>
      </c>
      <c r="V19">
        <v>0</v>
      </c>
      <c r="W19">
        <v>93</v>
      </c>
    </row>
    <row r="20" spans="1:23" x14ac:dyDescent="0.2">
      <c r="A20" t="s">
        <v>1077</v>
      </c>
      <c r="B20" t="s">
        <v>157</v>
      </c>
      <c r="C20">
        <v>457.13186025619513</v>
      </c>
      <c r="D20">
        <v>528</v>
      </c>
      <c r="E20">
        <v>3853</v>
      </c>
      <c r="F20">
        <v>7</v>
      </c>
      <c r="G20">
        <v>6</v>
      </c>
      <c r="H20">
        <v>7.1428571428571425E-2</v>
      </c>
      <c r="I20">
        <v>1.1851851851851849</v>
      </c>
      <c r="J20">
        <v>2.285714285714286</v>
      </c>
      <c r="K20">
        <v>1.928571428571429</v>
      </c>
      <c r="L20">
        <v>4.666666666666667</v>
      </c>
      <c r="M20">
        <v>1</v>
      </c>
      <c r="N20">
        <v>5</v>
      </c>
      <c r="O20">
        <v>4</v>
      </c>
      <c r="P20">
        <v>54</v>
      </c>
      <c r="Q20">
        <v>28</v>
      </c>
      <c r="R20">
        <v>6</v>
      </c>
      <c r="S20">
        <v>11</v>
      </c>
      <c r="T20">
        <v>244</v>
      </c>
      <c r="U20">
        <v>49</v>
      </c>
      <c r="V20">
        <v>2</v>
      </c>
      <c r="W20">
        <v>64</v>
      </c>
    </row>
    <row r="21" spans="1:23" x14ac:dyDescent="0.2">
      <c r="A21" t="s">
        <v>1078</v>
      </c>
      <c r="B21" t="s">
        <v>157</v>
      </c>
      <c r="C21">
        <v>3.915765762329102</v>
      </c>
      <c r="D21">
        <v>163</v>
      </c>
      <c r="E21">
        <v>1141</v>
      </c>
      <c r="F21">
        <v>8</v>
      </c>
      <c r="G21">
        <v>6</v>
      </c>
      <c r="H21">
        <v>0</v>
      </c>
      <c r="I21">
        <v>1.0568181818181821</v>
      </c>
      <c r="J21">
        <v>2.90625</v>
      </c>
      <c r="K21">
        <v>2.75</v>
      </c>
      <c r="L21">
        <v>5.333333333333333</v>
      </c>
      <c r="M21">
        <v>0</v>
      </c>
      <c r="N21">
        <v>6</v>
      </c>
      <c r="O21">
        <v>5</v>
      </c>
      <c r="P21">
        <v>88</v>
      </c>
      <c r="Q21">
        <v>32</v>
      </c>
      <c r="R21">
        <v>6</v>
      </c>
      <c r="S21">
        <v>13</v>
      </c>
      <c r="T21">
        <v>323</v>
      </c>
      <c r="U21">
        <v>57</v>
      </c>
      <c r="V21">
        <v>0</v>
      </c>
      <c r="W21">
        <v>93</v>
      </c>
    </row>
    <row r="22" spans="1:23" x14ac:dyDescent="0.2">
      <c r="A22" t="s">
        <v>1079</v>
      </c>
      <c r="B22" t="s">
        <v>157</v>
      </c>
      <c r="C22">
        <v>38.270035266876221</v>
      </c>
      <c r="D22">
        <v>593</v>
      </c>
      <c r="E22">
        <v>5692</v>
      </c>
      <c r="F22">
        <v>7</v>
      </c>
      <c r="G22">
        <v>6</v>
      </c>
      <c r="H22">
        <v>3.125E-2</v>
      </c>
      <c r="I22">
        <v>1</v>
      </c>
      <c r="J22">
        <v>2.71875</v>
      </c>
      <c r="K22">
        <v>2.71875</v>
      </c>
      <c r="L22">
        <v>5.333333333333333</v>
      </c>
      <c r="M22">
        <v>1</v>
      </c>
      <c r="N22">
        <v>1</v>
      </c>
      <c r="O22">
        <v>5</v>
      </c>
      <c r="P22">
        <v>87</v>
      </c>
      <c r="Q22">
        <v>32</v>
      </c>
      <c r="R22">
        <v>6</v>
      </c>
      <c r="S22">
        <v>7</v>
      </c>
      <c r="T22">
        <v>137</v>
      </c>
      <c r="U22">
        <v>24</v>
      </c>
      <c r="V22">
        <v>1</v>
      </c>
      <c r="W22">
        <v>87</v>
      </c>
    </row>
    <row r="23" spans="1:23" x14ac:dyDescent="0.2">
      <c r="A23" t="s">
        <v>1080</v>
      </c>
      <c r="B23" t="s">
        <v>157</v>
      </c>
      <c r="C23">
        <v>33.050760269165039</v>
      </c>
      <c r="D23">
        <v>456</v>
      </c>
      <c r="E23">
        <v>2606</v>
      </c>
      <c r="F23">
        <v>7</v>
      </c>
      <c r="G23">
        <v>6</v>
      </c>
      <c r="H23">
        <v>3.125E-2</v>
      </c>
      <c r="I23">
        <v>1</v>
      </c>
      <c r="J23">
        <v>2.625</v>
      </c>
      <c r="K23">
        <v>2.625</v>
      </c>
      <c r="L23">
        <v>5.333333333333333</v>
      </c>
      <c r="M23">
        <v>1</v>
      </c>
      <c r="N23">
        <v>1</v>
      </c>
      <c r="O23">
        <v>5</v>
      </c>
      <c r="P23">
        <v>84</v>
      </c>
      <c r="Q23">
        <v>32</v>
      </c>
      <c r="R23">
        <v>6</v>
      </c>
      <c r="S23">
        <v>7</v>
      </c>
      <c r="T23">
        <v>140</v>
      </c>
      <c r="U23">
        <v>24</v>
      </c>
      <c r="V23">
        <v>1</v>
      </c>
      <c r="W23">
        <v>84</v>
      </c>
    </row>
    <row r="24" spans="1:23" x14ac:dyDescent="0.2">
      <c r="A24" t="s">
        <v>1081</v>
      </c>
      <c r="B24" t="s">
        <v>157</v>
      </c>
      <c r="C24">
        <v>29.34644889831543</v>
      </c>
      <c r="D24">
        <v>631</v>
      </c>
      <c r="E24">
        <v>4869</v>
      </c>
      <c r="F24">
        <v>7</v>
      </c>
      <c r="G24">
        <v>6</v>
      </c>
      <c r="H24">
        <v>3.125E-2</v>
      </c>
      <c r="I24">
        <v>1</v>
      </c>
      <c r="J24">
        <v>2.625</v>
      </c>
      <c r="K24">
        <v>2.625</v>
      </c>
      <c r="L24">
        <v>5.333333333333333</v>
      </c>
      <c r="M24">
        <v>1</v>
      </c>
      <c r="N24">
        <v>1</v>
      </c>
      <c r="O24">
        <v>5</v>
      </c>
      <c r="P24">
        <v>84</v>
      </c>
      <c r="Q24">
        <v>32</v>
      </c>
      <c r="R24">
        <v>6</v>
      </c>
      <c r="S24">
        <v>7</v>
      </c>
      <c r="T24">
        <v>140</v>
      </c>
      <c r="U24">
        <v>24</v>
      </c>
      <c r="V24">
        <v>1</v>
      </c>
      <c r="W24">
        <v>84</v>
      </c>
    </row>
    <row r="25" spans="1:23" x14ac:dyDescent="0.2">
      <c r="A25" t="s">
        <v>1082</v>
      </c>
      <c r="B25" t="s">
        <v>157</v>
      </c>
      <c r="C25">
        <v>6.8332605361938477</v>
      </c>
      <c r="D25">
        <v>206</v>
      </c>
      <c r="E25">
        <v>1632</v>
      </c>
      <c r="F25">
        <v>8</v>
      </c>
      <c r="G25">
        <v>6</v>
      </c>
      <c r="H25">
        <v>0</v>
      </c>
      <c r="I25">
        <v>1.0588235294117649</v>
      </c>
      <c r="J25">
        <v>2.8125</v>
      </c>
      <c r="K25">
        <v>2.65625</v>
      </c>
      <c r="L25">
        <v>5.333333333333333</v>
      </c>
      <c r="M25">
        <v>0</v>
      </c>
      <c r="N25">
        <v>6</v>
      </c>
      <c r="O25">
        <v>5</v>
      </c>
      <c r="P25">
        <v>85</v>
      </c>
      <c r="Q25">
        <v>32</v>
      </c>
      <c r="R25">
        <v>6</v>
      </c>
      <c r="S25">
        <v>13</v>
      </c>
      <c r="T25">
        <v>326</v>
      </c>
      <c r="U25">
        <v>57</v>
      </c>
      <c r="V25">
        <v>0</v>
      </c>
      <c r="W25">
        <v>90</v>
      </c>
    </row>
    <row r="26" spans="1:23" x14ac:dyDescent="0.2">
      <c r="A26" t="s">
        <v>1083</v>
      </c>
      <c r="B26" t="s">
        <v>158</v>
      </c>
      <c r="C26" t="s">
        <v>159</v>
      </c>
      <c r="D26" t="s">
        <v>159</v>
      </c>
      <c r="E26" t="s">
        <v>159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</row>
    <row r="27" spans="1:23" x14ac:dyDescent="0.2">
      <c r="A27" t="s">
        <v>1084</v>
      </c>
      <c r="B27" t="s">
        <v>157</v>
      </c>
      <c r="C27">
        <v>131.23903822898859</v>
      </c>
      <c r="D27">
        <v>93</v>
      </c>
      <c r="E27">
        <v>7008</v>
      </c>
      <c r="F27">
        <v>7</v>
      </c>
      <c r="G27">
        <v>4</v>
      </c>
      <c r="H27">
        <v>9.1666666666666661</v>
      </c>
      <c r="I27">
        <v>1.1481481481481479</v>
      </c>
      <c r="J27">
        <v>3.875</v>
      </c>
      <c r="K27">
        <v>3.375</v>
      </c>
      <c r="L27">
        <v>24</v>
      </c>
      <c r="M27">
        <v>24</v>
      </c>
      <c r="N27">
        <v>2</v>
      </c>
      <c r="O27">
        <v>5</v>
      </c>
      <c r="P27">
        <v>324</v>
      </c>
      <c r="Q27">
        <v>96</v>
      </c>
      <c r="R27">
        <v>4</v>
      </c>
      <c r="S27">
        <v>11</v>
      </c>
      <c r="T27">
        <v>684</v>
      </c>
      <c r="U27">
        <v>20</v>
      </c>
      <c r="V27">
        <v>880</v>
      </c>
      <c r="W27">
        <v>372</v>
      </c>
    </row>
    <row r="28" spans="1:23" x14ac:dyDescent="0.2">
      <c r="A28" t="s">
        <v>1085</v>
      </c>
      <c r="B28" t="s">
        <v>157</v>
      </c>
      <c r="C28">
        <v>116.4395956993103</v>
      </c>
      <c r="D28">
        <v>493</v>
      </c>
      <c r="E28">
        <v>3500</v>
      </c>
      <c r="F28">
        <v>7</v>
      </c>
      <c r="G28">
        <v>6</v>
      </c>
      <c r="H28">
        <v>7.1428571428571425E-2</v>
      </c>
      <c r="I28">
        <v>1.1851851851851849</v>
      </c>
      <c r="J28">
        <v>2.285714285714286</v>
      </c>
      <c r="K28">
        <v>1.928571428571429</v>
      </c>
      <c r="L28">
        <v>4.666666666666667</v>
      </c>
      <c r="M28">
        <v>1</v>
      </c>
      <c r="N28">
        <v>5</v>
      </c>
      <c r="O28">
        <v>4</v>
      </c>
      <c r="P28">
        <v>54</v>
      </c>
      <c r="Q28">
        <v>28</v>
      </c>
      <c r="R28">
        <v>6</v>
      </c>
      <c r="S28">
        <v>11</v>
      </c>
      <c r="T28">
        <v>244</v>
      </c>
      <c r="U28">
        <v>49</v>
      </c>
      <c r="V28">
        <v>2</v>
      </c>
      <c r="W28">
        <v>64</v>
      </c>
    </row>
    <row r="29" spans="1:23" x14ac:dyDescent="0.2">
      <c r="A29" t="s">
        <v>1086</v>
      </c>
      <c r="B29" t="s">
        <v>157</v>
      </c>
      <c r="C29">
        <v>44.309955358505249</v>
      </c>
      <c r="D29">
        <v>672</v>
      </c>
      <c r="E29">
        <v>4960</v>
      </c>
      <c r="F29">
        <v>7</v>
      </c>
      <c r="G29">
        <v>6</v>
      </c>
      <c r="H29">
        <v>3.125E-2</v>
      </c>
      <c r="I29">
        <v>1</v>
      </c>
      <c r="J29">
        <v>2.625</v>
      </c>
      <c r="K29">
        <v>2.625</v>
      </c>
      <c r="L29">
        <v>5.333333333333333</v>
      </c>
      <c r="M29">
        <v>1</v>
      </c>
      <c r="N29">
        <v>1</v>
      </c>
      <c r="O29">
        <v>5</v>
      </c>
      <c r="P29">
        <v>84</v>
      </c>
      <c r="Q29">
        <v>32</v>
      </c>
      <c r="R29">
        <v>6</v>
      </c>
      <c r="S29">
        <v>7</v>
      </c>
      <c r="T29">
        <v>140</v>
      </c>
      <c r="U29">
        <v>24</v>
      </c>
      <c r="V29">
        <v>1</v>
      </c>
      <c r="W29">
        <v>84</v>
      </c>
    </row>
    <row r="30" spans="1:23" x14ac:dyDescent="0.2">
      <c r="A30" t="s">
        <v>1087</v>
      </c>
      <c r="B30" t="s">
        <v>157</v>
      </c>
      <c r="C30">
        <v>36.581088304519653</v>
      </c>
      <c r="D30">
        <v>536</v>
      </c>
      <c r="E30">
        <v>4651</v>
      </c>
      <c r="F30">
        <v>7</v>
      </c>
      <c r="G30">
        <v>6</v>
      </c>
      <c r="H30">
        <v>3.125E-2</v>
      </c>
      <c r="I30">
        <v>1</v>
      </c>
      <c r="J30">
        <v>2.625</v>
      </c>
      <c r="K30">
        <v>2.625</v>
      </c>
      <c r="L30">
        <v>5.333333333333333</v>
      </c>
      <c r="M30">
        <v>1</v>
      </c>
      <c r="N30">
        <v>1</v>
      </c>
      <c r="O30">
        <v>5</v>
      </c>
      <c r="P30">
        <v>84</v>
      </c>
      <c r="Q30">
        <v>32</v>
      </c>
      <c r="R30">
        <v>6</v>
      </c>
      <c r="S30">
        <v>7</v>
      </c>
      <c r="T30">
        <v>140</v>
      </c>
      <c r="U30">
        <v>24</v>
      </c>
      <c r="V30">
        <v>1</v>
      </c>
      <c r="W30">
        <v>84</v>
      </c>
    </row>
    <row r="31" spans="1:23" x14ac:dyDescent="0.2">
      <c r="A31" t="s">
        <v>1088</v>
      </c>
      <c r="B31" t="s">
        <v>157</v>
      </c>
      <c r="C31">
        <v>324.4953248500824</v>
      </c>
      <c r="D31">
        <v>112</v>
      </c>
      <c r="E31">
        <v>6468</v>
      </c>
      <c r="F31">
        <v>7</v>
      </c>
      <c r="G31">
        <v>4</v>
      </c>
      <c r="H31">
        <v>9.3333333333333339</v>
      </c>
      <c r="I31">
        <v>1.142857142857143</v>
      </c>
      <c r="J31">
        <v>4</v>
      </c>
      <c r="K31">
        <v>3.5</v>
      </c>
      <c r="L31">
        <v>24</v>
      </c>
      <c r="M31">
        <v>24</v>
      </c>
      <c r="N31">
        <v>2</v>
      </c>
      <c r="O31">
        <v>5</v>
      </c>
      <c r="P31">
        <v>336</v>
      </c>
      <c r="Q31">
        <v>96</v>
      </c>
      <c r="R31">
        <v>4</v>
      </c>
      <c r="S31">
        <v>11</v>
      </c>
      <c r="T31">
        <v>672</v>
      </c>
      <c r="U31">
        <v>20</v>
      </c>
      <c r="V31">
        <v>896</v>
      </c>
      <c r="W31">
        <v>384</v>
      </c>
    </row>
    <row r="32" spans="1:23" x14ac:dyDescent="0.2">
      <c r="A32" t="s">
        <v>1089</v>
      </c>
      <c r="B32" t="s">
        <v>158</v>
      </c>
      <c r="C32" t="s">
        <v>159</v>
      </c>
      <c r="D32" t="s">
        <v>159</v>
      </c>
      <c r="E32" t="s">
        <v>159</v>
      </c>
      <c r="F32" t="s">
        <v>159</v>
      </c>
      <c r="G32" t="s">
        <v>159</v>
      </c>
      <c r="H32" t="s">
        <v>159</v>
      </c>
      <c r="I32" t="s">
        <v>159</v>
      </c>
      <c r="J32" t="s">
        <v>159</v>
      </c>
      <c r="K32" t="s">
        <v>159</v>
      </c>
      <c r="L32" t="s">
        <v>159</v>
      </c>
      <c r="M32" t="s">
        <v>159</v>
      </c>
      <c r="N32" t="s">
        <v>159</v>
      </c>
      <c r="O32" t="s">
        <v>159</v>
      </c>
      <c r="P32" t="s">
        <v>159</v>
      </c>
      <c r="Q32" t="s">
        <v>159</v>
      </c>
      <c r="R32" t="s">
        <v>159</v>
      </c>
      <c r="S32" t="s">
        <v>159</v>
      </c>
      <c r="T32" t="s">
        <v>159</v>
      </c>
      <c r="U32" t="s">
        <v>159</v>
      </c>
      <c r="V32" t="s">
        <v>159</v>
      </c>
      <c r="W32" t="s">
        <v>159</v>
      </c>
    </row>
    <row r="33" spans="1:23" x14ac:dyDescent="0.2">
      <c r="A33" t="s">
        <v>1090</v>
      </c>
      <c r="B33" t="s">
        <v>157</v>
      </c>
      <c r="C33">
        <v>426.97307872772222</v>
      </c>
      <c r="D33">
        <v>504</v>
      </c>
      <c r="E33">
        <v>5275</v>
      </c>
      <c r="F33">
        <v>7</v>
      </c>
      <c r="G33">
        <v>6</v>
      </c>
      <c r="H33">
        <v>7.1428571428571425E-2</v>
      </c>
      <c r="I33">
        <v>1.1851851851851849</v>
      </c>
      <c r="J33">
        <v>2.285714285714286</v>
      </c>
      <c r="K33">
        <v>1.928571428571429</v>
      </c>
      <c r="L33">
        <v>4.666666666666667</v>
      </c>
      <c r="M33">
        <v>1</v>
      </c>
      <c r="N33">
        <v>5</v>
      </c>
      <c r="O33">
        <v>4</v>
      </c>
      <c r="P33">
        <v>54</v>
      </c>
      <c r="Q33">
        <v>28</v>
      </c>
      <c r="R33">
        <v>6</v>
      </c>
      <c r="S33">
        <v>11</v>
      </c>
      <c r="T33">
        <v>244</v>
      </c>
      <c r="U33">
        <v>49</v>
      </c>
      <c r="V33">
        <v>2</v>
      </c>
      <c r="W33">
        <v>64</v>
      </c>
    </row>
    <row r="34" spans="1:23" x14ac:dyDescent="0.2">
      <c r="A34" t="s">
        <v>1091</v>
      </c>
      <c r="B34" t="s">
        <v>157</v>
      </c>
      <c r="C34">
        <v>604.5846312046051</v>
      </c>
      <c r="D34">
        <v>2500</v>
      </c>
      <c r="E34">
        <v>9732</v>
      </c>
      <c r="F34">
        <v>9</v>
      </c>
      <c r="G34">
        <v>8</v>
      </c>
      <c r="H34">
        <v>11.95</v>
      </c>
      <c r="I34">
        <v>1.6125</v>
      </c>
      <c r="J34">
        <v>2.15</v>
      </c>
      <c r="K34">
        <v>1.333333333333333</v>
      </c>
      <c r="L34">
        <v>7.5</v>
      </c>
      <c r="M34">
        <v>332</v>
      </c>
      <c r="N34">
        <v>4</v>
      </c>
      <c r="O34">
        <v>3</v>
      </c>
      <c r="P34">
        <v>80</v>
      </c>
      <c r="Q34">
        <v>60</v>
      </c>
      <c r="R34">
        <v>8</v>
      </c>
      <c r="S34">
        <v>15</v>
      </c>
      <c r="T34">
        <v>771</v>
      </c>
      <c r="U34">
        <v>95</v>
      </c>
      <c r="V34">
        <v>717</v>
      </c>
      <c r="W34">
        <v>129</v>
      </c>
    </row>
    <row r="35" spans="1:23" x14ac:dyDescent="0.2">
      <c r="A35" t="s">
        <v>1092</v>
      </c>
      <c r="B35" t="s">
        <v>157</v>
      </c>
      <c r="C35">
        <v>52.396507263183587</v>
      </c>
      <c r="D35">
        <v>353</v>
      </c>
      <c r="E35">
        <v>1272</v>
      </c>
      <c r="F35">
        <v>7</v>
      </c>
      <c r="G35">
        <v>6</v>
      </c>
      <c r="H35">
        <v>6.25E-2</v>
      </c>
      <c r="I35">
        <v>0.98550724637681164</v>
      </c>
      <c r="J35">
        <v>2.125</v>
      </c>
      <c r="K35">
        <v>2.15625</v>
      </c>
      <c r="L35">
        <v>5.333333333333333</v>
      </c>
      <c r="M35">
        <v>1</v>
      </c>
      <c r="N35">
        <v>1</v>
      </c>
      <c r="O35">
        <v>4</v>
      </c>
      <c r="P35">
        <v>69</v>
      </c>
      <c r="Q35">
        <v>32</v>
      </c>
      <c r="R35">
        <v>6</v>
      </c>
      <c r="S35">
        <v>6</v>
      </c>
      <c r="T35">
        <v>124</v>
      </c>
      <c r="U35">
        <v>20</v>
      </c>
      <c r="V35">
        <v>2</v>
      </c>
      <c r="W35">
        <v>68</v>
      </c>
    </row>
    <row r="36" spans="1:23" x14ac:dyDescent="0.2">
      <c r="A36" t="s">
        <v>1093</v>
      </c>
      <c r="B36" t="s">
        <v>157</v>
      </c>
      <c r="C36">
        <v>174.98494744300839</v>
      </c>
      <c r="D36">
        <v>146</v>
      </c>
      <c r="E36">
        <v>7710</v>
      </c>
      <c r="F36">
        <v>7</v>
      </c>
      <c r="G36">
        <v>4</v>
      </c>
      <c r="H36">
        <v>9.1666666666666661</v>
      </c>
      <c r="I36">
        <v>1.1481481481481479</v>
      </c>
      <c r="J36">
        <v>3.875</v>
      </c>
      <c r="K36">
        <v>3.375</v>
      </c>
      <c r="L36">
        <v>24</v>
      </c>
      <c r="M36">
        <v>24</v>
      </c>
      <c r="N36">
        <v>2</v>
      </c>
      <c r="O36">
        <v>5</v>
      </c>
      <c r="P36">
        <v>324</v>
      </c>
      <c r="Q36">
        <v>96</v>
      </c>
      <c r="R36">
        <v>4</v>
      </c>
      <c r="S36">
        <v>11</v>
      </c>
      <c r="T36">
        <v>684</v>
      </c>
      <c r="U36">
        <v>20</v>
      </c>
      <c r="V36">
        <v>880</v>
      </c>
      <c r="W36">
        <v>372</v>
      </c>
    </row>
    <row r="37" spans="1:23" x14ac:dyDescent="0.2">
      <c r="A37" t="s">
        <v>1094</v>
      </c>
      <c r="B37" t="s">
        <v>157</v>
      </c>
      <c r="C37">
        <v>11.328899621963499</v>
      </c>
      <c r="D37">
        <v>216</v>
      </c>
      <c r="E37">
        <v>1769</v>
      </c>
      <c r="F37">
        <v>8</v>
      </c>
      <c r="G37">
        <v>6</v>
      </c>
      <c r="H37">
        <v>0</v>
      </c>
      <c r="I37">
        <v>1.0588235294117649</v>
      </c>
      <c r="J37">
        <v>2.8125</v>
      </c>
      <c r="K37">
        <v>2.65625</v>
      </c>
      <c r="L37">
        <v>5.333333333333333</v>
      </c>
      <c r="M37">
        <v>0</v>
      </c>
      <c r="N37">
        <v>6</v>
      </c>
      <c r="O37">
        <v>5</v>
      </c>
      <c r="P37">
        <v>85</v>
      </c>
      <c r="Q37">
        <v>32</v>
      </c>
      <c r="R37">
        <v>6</v>
      </c>
      <c r="S37">
        <v>13</v>
      </c>
      <c r="T37">
        <v>326</v>
      </c>
      <c r="U37">
        <v>57</v>
      </c>
      <c r="V37">
        <v>0</v>
      </c>
      <c r="W37">
        <v>90</v>
      </c>
    </row>
    <row r="38" spans="1:23" x14ac:dyDescent="0.2">
      <c r="A38" t="s">
        <v>1095</v>
      </c>
      <c r="B38" t="s">
        <v>158</v>
      </c>
      <c r="C38" t="s">
        <v>159</v>
      </c>
      <c r="D38" t="s">
        <v>159</v>
      </c>
      <c r="E38" t="s">
        <v>159</v>
      </c>
      <c r="F38" t="s">
        <v>159</v>
      </c>
      <c r="G38" t="s">
        <v>159</v>
      </c>
      <c r="H38" t="s">
        <v>159</v>
      </c>
      <c r="I38" t="s">
        <v>159</v>
      </c>
      <c r="J38" t="s">
        <v>159</v>
      </c>
      <c r="K38" t="s">
        <v>159</v>
      </c>
      <c r="L38" t="s">
        <v>159</v>
      </c>
      <c r="M38" t="s">
        <v>159</v>
      </c>
      <c r="N38" t="s">
        <v>159</v>
      </c>
      <c r="O38" t="s">
        <v>159</v>
      </c>
      <c r="P38" t="s">
        <v>159</v>
      </c>
      <c r="Q38" t="s">
        <v>159</v>
      </c>
      <c r="R38" t="s">
        <v>159</v>
      </c>
      <c r="S38" t="s">
        <v>159</v>
      </c>
      <c r="T38" t="s">
        <v>159</v>
      </c>
      <c r="U38" t="s">
        <v>159</v>
      </c>
      <c r="V38" t="s">
        <v>159</v>
      </c>
      <c r="W38" t="s">
        <v>159</v>
      </c>
    </row>
    <row r="39" spans="1:23" x14ac:dyDescent="0.2">
      <c r="A39" t="s">
        <v>1096</v>
      </c>
      <c r="B39" t="s">
        <v>157</v>
      </c>
      <c r="C39">
        <v>6.1084342002868652</v>
      </c>
      <c r="D39">
        <v>203</v>
      </c>
      <c r="E39">
        <v>2018</v>
      </c>
      <c r="F39">
        <v>8</v>
      </c>
      <c r="G39">
        <v>6</v>
      </c>
      <c r="H39">
        <v>0</v>
      </c>
      <c r="I39">
        <v>1.0568181818181821</v>
      </c>
      <c r="J39">
        <v>2.90625</v>
      </c>
      <c r="K39">
        <v>2.75</v>
      </c>
      <c r="L39">
        <v>5.333333333333333</v>
      </c>
      <c r="M39">
        <v>0</v>
      </c>
      <c r="N39">
        <v>6</v>
      </c>
      <c r="O39">
        <v>5</v>
      </c>
      <c r="P39">
        <v>88</v>
      </c>
      <c r="Q39">
        <v>32</v>
      </c>
      <c r="R39">
        <v>6</v>
      </c>
      <c r="S39">
        <v>13</v>
      </c>
      <c r="T39">
        <v>323</v>
      </c>
      <c r="U39">
        <v>57</v>
      </c>
      <c r="V39">
        <v>0</v>
      </c>
      <c r="W39">
        <v>93</v>
      </c>
    </row>
    <row r="40" spans="1:23" x14ac:dyDescent="0.2">
      <c r="A40" t="s">
        <v>1097</v>
      </c>
      <c r="B40" t="s">
        <v>157</v>
      </c>
      <c r="C40">
        <v>53.544914245605469</v>
      </c>
      <c r="D40">
        <v>337</v>
      </c>
      <c r="E40">
        <v>1776</v>
      </c>
      <c r="F40">
        <v>7</v>
      </c>
      <c r="G40">
        <v>6</v>
      </c>
      <c r="H40">
        <v>6.25E-2</v>
      </c>
      <c r="I40">
        <v>0.98611111111111116</v>
      </c>
      <c r="J40">
        <v>2.21875</v>
      </c>
      <c r="K40">
        <v>2.25</v>
      </c>
      <c r="L40">
        <v>5.333333333333333</v>
      </c>
      <c r="M40">
        <v>1</v>
      </c>
      <c r="N40">
        <v>1</v>
      </c>
      <c r="O40">
        <v>4</v>
      </c>
      <c r="P40">
        <v>72</v>
      </c>
      <c r="Q40">
        <v>32</v>
      </c>
      <c r="R40">
        <v>6</v>
      </c>
      <c r="S40">
        <v>6</v>
      </c>
      <c r="T40">
        <v>121</v>
      </c>
      <c r="U40">
        <v>20</v>
      </c>
      <c r="V40">
        <v>2</v>
      </c>
      <c r="W40">
        <v>71</v>
      </c>
    </row>
    <row r="41" spans="1:23" x14ac:dyDescent="0.2">
      <c r="A41" t="s">
        <v>1098</v>
      </c>
      <c r="B41" t="s">
        <v>157</v>
      </c>
      <c r="C41">
        <v>34.289549827575676</v>
      </c>
      <c r="D41">
        <v>535</v>
      </c>
      <c r="E41">
        <v>3286</v>
      </c>
      <c r="F41">
        <v>7</v>
      </c>
      <c r="G41">
        <v>6</v>
      </c>
      <c r="H41">
        <v>3.125E-2</v>
      </c>
      <c r="I41">
        <v>1</v>
      </c>
      <c r="J41">
        <v>2.71875</v>
      </c>
      <c r="K41">
        <v>2.71875</v>
      </c>
      <c r="L41">
        <v>5.333333333333333</v>
      </c>
      <c r="M41">
        <v>1</v>
      </c>
      <c r="N41">
        <v>1</v>
      </c>
      <c r="O41">
        <v>5</v>
      </c>
      <c r="P41">
        <v>87</v>
      </c>
      <c r="Q41">
        <v>32</v>
      </c>
      <c r="R41">
        <v>6</v>
      </c>
      <c r="S41">
        <v>7</v>
      </c>
      <c r="T41">
        <v>137</v>
      </c>
      <c r="U41">
        <v>24</v>
      </c>
      <c r="V41">
        <v>1</v>
      </c>
      <c r="W41">
        <v>87</v>
      </c>
    </row>
    <row r="42" spans="1:23" x14ac:dyDescent="0.2">
      <c r="A42" t="s">
        <v>1099</v>
      </c>
      <c r="B42" t="s">
        <v>157</v>
      </c>
      <c r="C42">
        <v>22.735748291015621</v>
      </c>
      <c r="D42">
        <v>253</v>
      </c>
      <c r="E42">
        <v>1212</v>
      </c>
      <c r="F42">
        <v>7</v>
      </c>
      <c r="G42">
        <v>6</v>
      </c>
      <c r="H42">
        <v>6.25E-2</v>
      </c>
      <c r="I42">
        <v>0.98611111111111116</v>
      </c>
      <c r="J42">
        <v>2.21875</v>
      </c>
      <c r="K42">
        <v>2.25</v>
      </c>
      <c r="L42">
        <v>5.333333333333333</v>
      </c>
      <c r="M42">
        <v>1</v>
      </c>
      <c r="N42">
        <v>1</v>
      </c>
      <c r="O42">
        <v>4</v>
      </c>
      <c r="P42">
        <v>72</v>
      </c>
      <c r="Q42">
        <v>32</v>
      </c>
      <c r="R42">
        <v>6</v>
      </c>
      <c r="S42">
        <v>6</v>
      </c>
      <c r="T42">
        <v>121</v>
      </c>
      <c r="U42">
        <v>20</v>
      </c>
      <c r="V42">
        <v>2</v>
      </c>
      <c r="W42">
        <v>71</v>
      </c>
    </row>
    <row r="43" spans="1:23" x14ac:dyDescent="0.2">
      <c r="A43" t="s">
        <v>1100</v>
      </c>
      <c r="B43" t="s">
        <v>157</v>
      </c>
      <c r="C43">
        <v>3.7054493427276611</v>
      </c>
      <c r="D43">
        <v>175</v>
      </c>
      <c r="E43">
        <v>1451</v>
      </c>
      <c r="F43">
        <v>8</v>
      </c>
      <c r="G43">
        <v>6</v>
      </c>
      <c r="H43">
        <v>0</v>
      </c>
      <c r="I43">
        <v>1.0568181818181821</v>
      </c>
      <c r="J43">
        <v>2.90625</v>
      </c>
      <c r="K43">
        <v>2.75</v>
      </c>
      <c r="L43">
        <v>5.333333333333333</v>
      </c>
      <c r="M43">
        <v>0</v>
      </c>
      <c r="N43">
        <v>6</v>
      </c>
      <c r="O43">
        <v>5</v>
      </c>
      <c r="P43">
        <v>88</v>
      </c>
      <c r="Q43">
        <v>32</v>
      </c>
      <c r="R43">
        <v>6</v>
      </c>
      <c r="S43">
        <v>13</v>
      </c>
      <c r="T43">
        <v>323</v>
      </c>
      <c r="U43">
        <v>57</v>
      </c>
      <c r="V43">
        <v>0</v>
      </c>
      <c r="W43">
        <v>93</v>
      </c>
    </row>
    <row r="44" spans="1:23" x14ac:dyDescent="0.2">
      <c r="A44" t="s">
        <v>1101</v>
      </c>
      <c r="B44" t="s">
        <v>158</v>
      </c>
      <c r="C44" t="s">
        <v>159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  <c r="W44" t="s">
        <v>159</v>
      </c>
    </row>
    <row r="45" spans="1:23" x14ac:dyDescent="0.2">
      <c r="A45" t="s">
        <v>1102</v>
      </c>
      <c r="B45" t="s">
        <v>158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</row>
    <row r="46" spans="1:23" x14ac:dyDescent="0.2">
      <c r="A46" t="s">
        <v>1103</v>
      </c>
      <c r="B46" t="s">
        <v>158</v>
      </c>
      <c r="C46" t="s">
        <v>159</v>
      </c>
      <c r="D46" t="s">
        <v>159</v>
      </c>
      <c r="E46" t="s">
        <v>159</v>
      </c>
      <c r="F46" t="s">
        <v>159</v>
      </c>
      <c r="G46" t="s">
        <v>159</v>
      </c>
      <c r="H46" t="s">
        <v>159</v>
      </c>
      <c r="I46" t="s">
        <v>159</v>
      </c>
      <c r="J46" t="s">
        <v>159</v>
      </c>
      <c r="K46" t="s">
        <v>159</v>
      </c>
      <c r="L46" t="s">
        <v>159</v>
      </c>
      <c r="M46" t="s">
        <v>159</v>
      </c>
      <c r="N46" t="s">
        <v>159</v>
      </c>
      <c r="O46" t="s">
        <v>159</v>
      </c>
      <c r="P46" t="s">
        <v>159</v>
      </c>
      <c r="Q46" t="s">
        <v>159</v>
      </c>
      <c r="R46" t="s">
        <v>159</v>
      </c>
      <c r="S46" t="s">
        <v>159</v>
      </c>
      <c r="T46" t="s">
        <v>159</v>
      </c>
      <c r="U46" t="s">
        <v>159</v>
      </c>
      <c r="V46" t="s">
        <v>159</v>
      </c>
      <c r="W46" t="s">
        <v>159</v>
      </c>
    </row>
    <row r="47" spans="1:23" x14ac:dyDescent="0.2">
      <c r="A47" t="s">
        <v>1104</v>
      </c>
      <c r="B47" t="s">
        <v>158</v>
      </c>
      <c r="C47" t="s">
        <v>159</v>
      </c>
      <c r="D47" t="s">
        <v>159</v>
      </c>
      <c r="E47" t="s">
        <v>159</v>
      </c>
      <c r="F47" t="s">
        <v>159</v>
      </c>
      <c r="G47" t="s">
        <v>159</v>
      </c>
      <c r="H47" t="s">
        <v>159</v>
      </c>
      <c r="I47" t="s">
        <v>159</v>
      </c>
      <c r="J47" t="s">
        <v>159</v>
      </c>
      <c r="K47" t="s">
        <v>159</v>
      </c>
      <c r="L47" t="s">
        <v>159</v>
      </c>
      <c r="M47" t="s">
        <v>159</v>
      </c>
      <c r="N47" t="s">
        <v>159</v>
      </c>
      <c r="O47" t="s">
        <v>159</v>
      </c>
      <c r="P47" t="s">
        <v>159</v>
      </c>
      <c r="Q47" t="s">
        <v>159</v>
      </c>
      <c r="R47" t="s">
        <v>159</v>
      </c>
      <c r="S47" t="s">
        <v>159</v>
      </c>
      <c r="T47" t="s">
        <v>159</v>
      </c>
      <c r="U47" t="s">
        <v>159</v>
      </c>
      <c r="V47" t="s">
        <v>159</v>
      </c>
      <c r="W47" t="s">
        <v>159</v>
      </c>
    </row>
    <row r="48" spans="1:23" x14ac:dyDescent="0.2">
      <c r="A48" t="s">
        <v>1105</v>
      </c>
      <c r="B48" t="s">
        <v>158</v>
      </c>
      <c r="C48" t="s">
        <v>159</v>
      </c>
      <c r="D48" t="s">
        <v>159</v>
      </c>
      <c r="E48" t="s">
        <v>159</v>
      </c>
      <c r="F48" t="s">
        <v>159</v>
      </c>
      <c r="G48" t="s">
        <v>159</v>
      </c>
      <c r="H48" t="s">
        <v>159</v>
      </c>
      <c r="I48" t="s">
        <v>159</v>
      </c>
      <c r="J48" t="s">
        <v>159</v>
      </c>
      <c r="K48" t="s">
        <v>159</v>
      </c>
      <c r="L48" t="s">
        <v>159</v>
      </c>
      <c r="M48" t="s">
        <v>159</v>
      </c>
      <c r="N48" t="s">
        <v>159</v>
      </c>
      <c r="O48" t="s">
        <v>159</v>
      </c>
      <c r="P48" t="s">
        <v>159</v>
      </c>
      <c r="Q48" t="s">
        <v>159</v>
      </c>
      <c r="R48" t="s">
        <v>159</v>
      </c>
      <c r="S48" t="s">
        <v>159</v>
      </c>
      <c r="T48" t="s">
        <v>159</v>
      </c>
      <c r="U48" t="s">
        <v>159</v>
      </c>
      <c r="V48" t="s">
        <v>159</v>
      </c>
      <c r="W48" t="s">
        <v>159</v>
      </c>
    </row>
    <row r="49" spans="1:23" x14ac:dyDescent="0.2">
      <c r="A49" t="s">
        <v>1106</v>
      </c>
      <c r="B49" t="s">
        <v>158</v>
      </c>
      <c r="C49" t="s">
        <v>159</v>
      </c>
      <c r="D49" t="s">
        <v>159</v>
      </c>
      <c r="E49" t="s">
        <v>159</v>
      </c>
      <c r="F49" t="s">
        <v>159</v>
      </c>
      <c r="G49" t="s">
        <v>159</v>
      </c>
      <c r="H49" t="s">
        <v>159</v>
      </c>
      <c r="I49" t="s">
        <v>159</v>
      </c>
      <c r="J49" t="s">
        <v>159</v>
      </c>
      <c r="K49" t="s">
        <v>159</v>
      </c>
      <c r="L49" t="s">
        <v>159</v>
      </c>
      <c r="M49" t="s">
        <v>159</v>
      </c>
      <c r="N49" t="s">
        <v>159</v>
      </c>
      <c r="O49" t="s">
        <v>159</v>
      </c>
      <c r="P49" t="s">
        <v>159</v>
      </c>
      <c r="Q49" t="s">
        <v>159</v>
      </c>
      <c r="R49" t="s">
        <v>159</v>
      </c>
      <c r="S49" t="s">
        <v>159</v>
      </c>
      <c r="T49" t="s">
        <v>159</v>
      </c>
      <c r="U49" t="s">
        <v>159</v>
      </c>
      <c r="V49" t="s">
        <v>159</v>
      </c>
      <c r="W49" t="s">
        <v>159</v>
      </c>
    </row>
    <row r="50" spans="1:23" x14ac:dyDescent="0.2">
      <c r="A50" t="s">
        <v>1107</v>
      </c>
      <c r="B50" t="s">
        <v>157</v>
      </c>
      <c r="C50">
        <v>33.299846887588501</v>
      </c>
      <c r="D50">
        <v>290</v>
      </c>
      <c r="E50">
        <v>878</v>
      </c>
      <c r="F50">
        <v>7</v>
      </c>
      <c r="G50">
        <v>6</v>
      </c>
      <c r="H50">
        <v>6.25E-2</v>
      </c>
      <c r="I50">
        <v>0.98550724637681164</v>
      </c>
      <c r="J50">
        <v>2.125</v>
      </c>
      <c r="K50">
        <v>2.15625</v>
      </c>
      <c r="L50">
        <v>5.333333333333333</v>
      </c>
      <c r="M50">
        <v>1</v>
      </c>
      <c r="N50">
        <v>1</v>
      </c>
      <c r="O50">
        <v>4</v>
      </c>
      <c r="P50">
        <v>69</v>
      </c>
      <c r="Q50">
        <v>32</v>
      </c>
      <c r="R50">
        <v>6</v>
      </c>
      <c r="S50">
        <v>6</v>
      </c>
      <c r="T50">
        <v>124</v>
      </c>
      <c r="U50">
        <v>20</v>
      </c>
      <c r="V50">
        <v>2</v>
      </c>
      <c r="W50">
        <v>68</v>
      </c>
    </row>
    <row r="51" spans="1:23" x14ac:dyDescent="0.2">
      <c r="A51" t="s">
        <v>1108</v>
      </c>
      <c r="B51" t="s">
        <v>157</v>
      </c>
      <c r="C51">
        <v>5.2587852478027344</v>
      </c>
      <c r="D51">
        <v>178</v>
      </c>
      <c r="E51">
        <v>1451</v>
      </c>
      <c r="F51">
        <v>8</v>
      </c>
      <c r="G51">
        <v>6</v>
      </c>
      <c r="H51">
        <v>0</v>
      </c>
      <c r="I51">
        <v>1.0568181818181821</v>
      </c>
      <c r="J51">
        <v>2.90625</v>
      </c>
      <c r="K51">
        <v>2.75</v>
      </c>
      <c r="L51">
        <v>5.333333333333333</v>
      </c>
      <c r="M51">
        <v>0</v>
      </c>
      <c r="N51">
        <v>6</v>
      </c>
      <c r="O51">
        <v>5</v>
      </c>
      <c r="P51">
        <v>88</v>
      </c>
      <c r="Q51">
        <v>32</v>
      </c>
      <c r="R51">
        <v>6</v>
      </c>
      <c r="S51">
        <v>13</v>
      </c>
      <c r="T51">
        <v>323</v>
      </c>
      <c r="U51">
        <v>57</v>
      </c>
      <c r="V51">
        <v>0</v>
      </c>
      <c r="W51">
        <v>93</v>
      </c>
    </row>
    <row r="52" spans="1:23" x14ac:dyDescent="0.2">
      <c r="A52" t="s">
        <v>1109</v>
      </c>
      <c r="B52" t="s">
        <v>157</v>
      </c>
      <c r="C52">
        <v>30.451555967330929</v>
      </c>
      <c r="D52">
        <v>505</v>
      </c>
      <c r="E52">
        <v>4648</v>
      </c>
      <c r="F52">
        <v>7</v>
      </c>
      <c r="G52">
        <v>6</v>
      </c>
      <c r="H52">
        <v>3.125E-2</v>
      </c>
      <c r="I52">
        <v>1</v>
      </c>
      <c r="J52">
        <v>2.71875</v>
      </c>
      <c r="K52">
        <v>2.71875</v>
      </c>
      <c r="L52">
        <v>5.333333333333333</v>
      </c>
      <c r="M52">
        <v>1</v>
      </c>
      <c r="N52">
        <v>1</v>
      </c>
      <c r="O52">
        <v>5</v>
      </c>
      <c r="P52">
        <v>87</v>
      </c>
      <c r="Q52">
        <v>32</v>
      </c>
      <c r="R52">
        <v>6</v>
      </c>
      <c r="S52">
        <v>7</v>
      </c>
      <c r="T52">
        <v>137</v>
      </c>
      <c r="U52">
        <v>24</v>
      </c>
      <c r="V52">
        <v>1</v>
      </c>
      <c r="W52">
        <v>87</v>
      </c>
    </row>
    <row r="53" spans="1:23" x14ac:dyDescent="0.2">
      <c r="A53" t="s">
        <v>1110</v>
      </c>
      <c r="B53" t="s">
        <v>157</v>
      </c>
      <c r="C53">
        <v>40.459673643112183</v>
      </c>
      <c r="D53">
        <v>571</v>
      </c>
      <c r="E53">
        <v>6174</v>
      </c>
      <c r="F53">
        <v>7</v>
      </c>
      <c r="G53">
        <v>6</v>
      </c>
      <c r="H53">
        <v>3.125E-2</v>
      </c>
      <c r="I53">
        <v>1</v>
      </c>
      <c r="J53">
        <v>2.71875</v>
      </c>
      <c r="K53">
        <v>2.71875</v>
      </c>
      <c r="L53">
        <v>5.333333333333333</v>
      </c>
      <c r="M53">
        <v>1</v>
      </c>
      <c r="N53">
        <v>1</v>
      </c>
      <c r="O53">
        <v>5</v>
      </c>
      <c r="P53">
        <v>87</v>
      </c>
      <c r="Q53">
        <v>32</v>
      </c>
      <c r="R53">
        <v>6</v>
      </c>
      <c r="S53">
        <v>7</v>
      </c>
      <c r="T53">
        <v>137</v>
      </c>
      <c r="U53">
        <v>24</v>
      </c>
      <c r="V53">
        <v>1</v>
      </c>
      <c r="W53">
        <v>87</v>
      </c>
    </row>
    <row r="54" spans="1:23" x14ac:dyDescent="0.2">
      <c r="A54" t="s">
        <v>1111</v>
      </c>
      <c r="B54" t="s">
        <v>157</v>
      </c>
      <c r="C54">
        <v>4.7626218795776367</v>
      </c>
      <c r="D54">
        <v>179</v>
      </c>
      <c r="E54">
        <v>1582</v>
      </c>
      <c r="F54">
        <v>8</v>
      </c>
      <c r="G54">
        <v>6</v>
      </c>
      <c r="H54">
        <v>0</v>
      </c>
      <c r="I54">
        <v>1.0568181818181821</v>
      </c>
      <c r="J54">
        <v>2.90625</v>
      </c>
      <c r="K54">
        <v>2.75</v>
      </c>
      <c r="L54">
        <v>5.333333333333333</v>
      </c>
      <c r="M54">
        <v>0</v>
      </c>
      <c r="N54">
        <v>6</v>
      </c>
      <c r="O54">
        <v>5</v>
      </c>
      <c r="P54">
        <v>88</v>
      </c>
      <c r="Q54">
        <v>32</v>
      </c>
      <c r="R54">
        <v>6</v>
      </c>
      <c r="S54">
        <v>13</v>
      </c>
      <c r="T54">
        <v>323</v>
      </c>
      <c r="U54">
        <v>57</v>
      </c>
      <c r="V54">
        <v>0</v>
      </c>
      <c r="W54">
        <v>93</v>
      </c>
    </row>
    <row r="55" spans="1:23" x14ac:dyDescent="0.2">
      <c r="A55" t="s">
        <v>1112</v>
      </c>
      <c r="B55" t="s">
        <v>157</v>
      </c>
      <c r="C55">
        <v>98.367053985595703</v>
      </c>
      <c r="D55">
        <v>93</v>
      </c>
      <c r="E55">
        <v>5540</v>
      </c>
      <c r="F55">
        <v>7</v>
      </c>
      <c r="G55">
        <v>4</v>
      </c>
      <c r="H55">
        <v>9.3333333333333339</v>
      </c>
      <c r="I55">
        <v>1.142857142857143</v>
      </c>
      <c r="J55">
        <v>4</v>
      </c>
      <c r="K55">
        <v>3.5</v>
      </c>
      <c r="L55">
        <v>24</v>
      </c>
      <c r="M55">
        <v>24</v>
      </c>
      <c r="N55">
        <v>2</v>
      </c>
      <c r="O55">
        <v>5</v>
      </c>
      <c r="P55">
        <v>336</v>
      </c>
      <c r="Q55">
        <v>96</v>
      </c>
      <c r="R55">
        <v>4</v>
      </c>
      <c r="S55">
        <v>11</v>
      </c>
      <c r="T55">
        <v>672</v>
      </c>
      <c r="U55">
        <v>20</v>
      </c>
      <c r="V55">
        <v>896</v>
      </c>
      <c r="W55">
        <v>384</v>
      </c>
    </row>
    <row r="56" spans="1:23" x14ac:dyDescent="0.2">
      <c r="A56" t="s">
        <v>1113</v>
      </c>
      <c r="B56" t="s">
        <v>157</v>
      </c>
      <c r="C56">
        <v>326.73150038719177</v>
      </c>
      <c r="D56">
        <v>119</v>
      </c>
      <c r="E56">
        <v>7219</v>
      </c>
      <c r="F56">
        <v>7</v>
      </c>
      <c r="G56">
        <v>4</v>
      </c>
      <c r="H56">
        <v>9.3333333333333339</v>
      </c>
      <c r="I56">
        <v>1.142857142857143</v>
      </c>
      <c r="J56">
        <v>4</v>
      </c>
      <c r="K56">
        <v>3.5</v>
      </c>
      <c r="L56">
        <v>24</v>
      </c>
      <c r="M56">
        <v>24</v>
      </c>
      <c r="N56">
        <v>2</v>
      </c>
      <c r="O56">
        <v>5</v>
      </c>
      <c r="P56">
        <v>336</v>
      </c>
      <c r="Q56">
        <v>96</v>
      </c>
      <c r="R56">
        <v>4</v>
      </c>
      <c r="S56">
        <v>11</v>
      </c>
      <c r="T56">
        <v>672</v>
      </c>
      <c r="U56">
        <v>20</v>
      </c>
      <c r="V56">
        <v>896</v>
      </c>
      <c r="W56">
        <v>384</v>
      </c>
    </row>
    <row r="57" spans="1:23" x14ac:dyDescent="0.2">
      <c r="A57" t="s">
        <v>1114</v>
      </c>
      <c r="B57" t="s">
        <v>157</v>
      </c>
      <c r="C57">
        <v>33.796884298324578</v>
      </c>
      <c r="D57">
        <v>453</v>
      </c>
      <c r="E57">
        <v>4274</v>
      </c>
      <c r="F57">
        <v>7</v>
      </c>
      <c r="G57">
        <v>6</v>
      </c>
      <c r="H57">
        <v>3.125E-2</v>
      </c>
      <c r="I57">
        <v>1</v>
      </c>
      <c r="J57">
        <v>2.71875</v>
      </c>
      <c r="K57">
        <v>2.71875</v>
      </c>
      <c r="L57">
        <v>5.333333333333333</v>
      </c>
      <c r="M57">
        <v>1</v>
      </c>
      <c r="N57">
        <v>1</v>
      </c>
      <c r="O57">
        <v>5</v>
      </c>
      <c r="P57">
        <v>87</v>
      </c>
      <c r="Q57">
        <v>32</v>
      </c>
      <c r="R57">
        <v>6</v>
      </c>
      <c r="S57">
        <v>7</v>
      </c>
      <c r="T57">
        <v>137</v>
      </c>
      <c r="U57">
        <v>24</v>
      </c>
      <c r="V57">
        <v>1</v>
      </c>
      <c r="W57">
        <v>87</v>
      </c>
    </row>
    <row r="58" spans="1:23" x14ac:dyDescent="0.2">
      <c r="A58" t="s">
        <v>1115</v>
      </c>
      <c r="B58" t="s">
        <v>157</v>
      </c>
      <c r="C58">
        <v>6.186368465423584</v>
      </c>
      <c r="D58">
        <v>197</v>
      </c>
      <c r="E58">
        <v>1940</v>
      </c>
      <c r="F58">
        <v>8</v>
      </c>
      <c r="G58">
        <v>6</v>
      </c>
      <c r="H58">
        <v>0</v>
      </c>
      <c r="I58">
        <v>1.0568181818181821</v>
      </c>
      <c r="J58">
        <v>2.90625</v>
      </c>
      <c r="K58">
        <v>2.75</v>
      </c>
      <c r="L58">
        <v>5.333333333333333</v>
      </c>
      <c r="M58">
        <v>0</v>
      </c>
      <c r="N58">
        <v>6</v>
      </c>
      <c r="O58">
        <v>5</v>
      </c>
      <c r="P58">
        <v>88</v>
      </c>
      <c r="Q58">
        <v>32</v>
      </c>
      <c r="R58">
        <v>6</v>
      </c>
      <c r="S58">
        <v>13</v>
      </c>
      <c r="T58">
        <v>323</v>
      </c>
      <c r="U58">
        <v>57</v>
      </c>
      <c r="V58">
        <v>0</v>
      </c>
      <c r="W58">
        <v>93</v>
      </c>
    </row>
    <row r="59" spans="1:23" x14ac:dyDescent="0.2">
      <c r="A59" t="s">
        <v>1116</v>
      </c>
      <c r="B59" t="s">
        <v>158</v>
      </c>
      <c r="C59" t="s">
        <v>159</v>
      </c>
      <c r="D59" t="s">
        <v>159</v>
      </c>
      <c r="E59" t="s">
        <v>159</v>
      </c>
      <c r="F59" t="s">
        <v>159</v>
      </c>
      <c r="G59" t="s">
        <v>159</v>
      </c>
      <c r="H59" t="s">
        <v>159</v>
      </c>
      <c r="I59" t="s">
        <v>159</v>
      </c>
      <c r="J59" t="s">
        <v>159</v>
      </c>
      <c r="K59" t="s">
        <v>159</v>
      </c>
      <c r="L59" t="s">
        <v>159</v>
      </c>
      <c r="M59" t="s">
        <v>159</v>
      </c>
      <c r="N59" t="s">
        <v>159</v>
      </c>
      <c r="O59" t="s">
        <v>159</v>
      </c>
      <c r="P59" t="s">
        <v>159</v>
      </c>
      <c r="Q59" t="s">
        <v>159</v>
      </c>
      <c r="R59" t="s">
        <v>159</v>
      </c>
      <c r="S59" t="s">
        <v>159</v>
      </c>
      <c r="T59" t="s">
        <v>159</v>
      </c>
      <c r="U59" t="s">
        <v>159</v>
      </c>
      <c r="V59" t="s">
        <v>159</v>
      </c>
      <c r="W59" t="s">
        <v>159</v>
      </c>
    </row>
    <row r="60" spans="1:23" x14ac:dyDescent="0.2">
      <c r="A60" t="s">
        <v>1117</v>
      </c>
      <c r="B60" t="s">
        <v>157</v>
      </c>
      <c r="C60">
        <v>6.1079237461090088</v>
      </c>
      <c r="D60">
        <v>170</v>
      </c>
      <c r="E60">
        <v>1467</v>
      </c>
      <c r="F60">
        <v>8</v>
      </c>
      <c r="G60">
        <v>6</v>
      </c>
      <c r="H60">
        <v>0</v>
      </c>
      <c r="I60">
        <v>1.0568181818181821</v>
      </c>
      <c r="J60">
        <v>2.90625</v>
      </c>
      <c r="K60">
        <v>2.75</v>
      </c>
      <c r="L60">
        <v>5.333333333333333</v>
      </c>
      <c r="M60">
        <v>0</v>
      </c>
      <c r="N60">
        <v>6</v>
      </c>
      <c r="O60">
        <v>5</v>
      </c>
      <c r="P60">
        <v>88</v>
      </c>
      <c r="Q60">
        <v>32</v>
      </c>
      <c r="R60">
        <v>6</v>
      </c>
      <c r="S60">
        <v>13</v>
      </c>
      <c r="T60">
        <v>323</v>
      </c>
      <c r="U60">
        <v>57</v>
      </c>
      <c r="V60">
        <v>0</v>
      </c>
      <c r="W60">
        <v>93</v>
      </c>
    </row>
    <row r="61" spans="1:23" x14ac:dyDescent="0.2">
      <c r="A61" t="s">
        <v>1118</v>
      </c>
      <c r="B61" t="s">
        <v>158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  <c r="I61" t="s">
        <v>159</v>
      </c>
      <c r="J61" t="s">
        <v>159</v>
      </c>
      <c r="K61" t="s">
        <v>159</v>
      </c>
      <c r="L61" t="s">
        <v>159</v>
      </c>
      <c r="M61" t="s">
        <v>159</v>
      </c>
      <c r="N61" t="s">
        <v>159</v>
      </c>
      <c r="O61" t="s">
        <v>159</v>
      </c>
      <c r="P61" t="s">
        <v>159</v>
      </c>
      <c r="Q61" t="s">
        <v>159</v>
      </c>
      <c r="R61" t="s">
        <v>159</v>
      </c>
      <c r="S61" t="s">
        <v>159</v>
      </c>
      <c r="T61" t="s">
        <v>159</v>
      </c>
      <c r="U61" t="s">
        <v>159</v>
      </c>
      <c r="V61" t="s">
        <v>159</v>
      </c>
      <c r="W61" t="s">
        <v>159</v>
      </c>
    </row>
    <row r="62" spans="1:23" x14ac:dyDescent="0.2">
      <c r="A62" t="s">
        <v>1119</v>
      </c>
      <c r="B62" t="s">
        <v>157</v>
      </c>
      <c r="C62">
        <v>126.7335929870606</v>
      </c>
      <c r="D62">
        <v>66</v>
      </c>
      <c r="E62">
        <v>4860</v>
      </c>
      <c r="F62">
        <v>7</v>
      </c>
      <c r="G62">
        <v>4</v>
      </c>
      <c r="H62">
        <v>9.3333333333333339</v>
      </c>
      <c r="I62">
        <v>1.142857142857143</v>
      </c>
      <c r="J62">
        <v>4</v>
      </c>
      <c r="K62">
        <v>3.5</v>
      </c>
      <c r="L62">
        <v>24</v>
      </c>
      <c r="M62">
        <v>24</v>
      </c>
      <c r="N62">
        <v>2</v>
      </c>
      <c r="O62">
        <v>5</v>
      </c>
      <c r="P62">
        <v>336</v>
      </c>
      <c r="Q62">
        <v>96</v>
      </c>
      <c r="R62">
        <v>4</v>
      </c>
      <c r="S62">
        <v>11</v>
      </c>
      <c r="T62">
        <v>672</v>
      </c>
      <c r="U62">
        <v>20</v>
      </c>
      <c r="V62">
        <v>896</v>
      </c>
      <c r="W62">
        <v>384</v>
      </c>
    </row>
    <row r="63" spans="1:23" x14ac:dyDescent="0.2">
      <c r="A63" t="s">
        <v>1120</v>
      </c>
      <c r="B63" t="s">
        <v>158</v>
      </c>
      <c r="C63" t="s">
        <v>159</v>
      </c>
      <c r="D63" t="s">
        <v>159</v>
      </c>
      <c r="E63" t="s">
        <v>159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  <c r="R63" t="s">
        <v>159</v>
      </c>
      <c r="S63" t="s">
        <v>159</v>
      </c>
      <c r="T63" t="s">
        <v>159</v>
      </c>
      <c r="U63" t="s">
        <v>159</v>
      </c>
      <c r="V63" t="s">
        <v>159</v>
      </c>
      <c r="W63" t="s">
        <v>159</v>
      </c>
    </row>
    <row r="64" spans="1:23" x14ac:dyDescent="0.2">
      <c r="A64" t="s">
        <v>1121</v>
      </c>
      <c r="B64" t="s">
        <v>157</v>
      </c>
      <c r="C64">
        <v>8.3592491149902344</v>
      </c>
      <c r="D64">
        <v>192</v>
      </c>
      <c r="E64">
        <v>1523</v>
      </c>
      <c r="F64">
        <v>8</v>
      </c>
      <c r="G64">
        <v>6</v>
      </c>
      <c r="H64">
        <v>0</v>
      </c>
      <c r="I64">
        <v>1.0588235294117649</v>
      </c>
      <c r="J64">
        <v>2.8125</v>
      </c>
      <c r="K64">
        <v>2.65625</v>
      </c>
      <c r="L64">
        <v>5.333333333333333</v>
      </c>
      <c r="M64">
        <v>0</v>
      </c>
      <c r="N64">
        <v>6</v>
      </c>
      <c r="O64">
        <v>5</v>
      </c>
      <c r="P64">
        <v>85</v>
      </c>
      <c r="Q64">
        <v>32</v>
      </c>
      <c r="R64">
        <v>6</v>
      </c>
      <c r="S64">
        <v>13</v>
      </c>
      <c r="T64">
        <v>326</v>
      </c>
      <c r="U64">
        <v>57</v>
      </c>
      <c r="V64">
        <v>0</v>
      </c>
      <c r="W64">
        <v>90</v>
      </c>
    </row>
    <row r="65" spans="1:23" x14ac:dyDescent="0.2">
      <c r="A65" t="s">
        <v>1122</v>
      </c>
      <c r="B65" t="s">
        <v>157</v>
      </c>
      <c r="C65">
        <v>43.112047910690308</v>
      </c>
      <c r="D65">
        <v>628</v>
      </c>
      <c r="E65">
        <v>6296</v>
      </c>
      <c r="F65">
        <v>7</v>
      </c>
      <c r="G65">
        <v>6</v>
      </c>
      <c r="H65">
        <v>3.125E-2</v>
      </c>
      <c r="I65">
        <v>1</v>
      </c>
      <c r="J65">
        <v>2.71875</v>
      </c>
      <c r="K65">
        <v>2.71875</v>
      </c>
      <c r="L65">
        <v>5.333333333333333</v>
      </c>
      <c r="M65">
        <v>1</v>
      </c>
      <c r="N65">
        <v>1</v>
      </c>
      <c r="O65">
        <v>5</v>
      </c>
      <c r="P65">
        <v>87</v>
      </c>
      <c r="Q65">
        <v>32</v>
      </c>
      <c r="R65">
        <v>6</v>
      </c>
      <c r="S65">
        <v>7</v>
      </c>
      <c r="T65">
        <v>137</v>
      </c>
      <c r="U65">
        <v>24</v>
      </c>
      <c r="V65">
        <v>1</v>
      </c>
      <c r="W65">
        <v>87</v>
      </c>
    </row>
    <row r="66" spans="1:23" x14ac:dyDescent="0.2">
      <c r="A66" t="s">
        <v>1123</v>
      </c>
      <c r="B66" t="s">
        <v>157</v>
      </c>
      <c r="C66">
        <v>157.10762715339661</v>
      </c>
      <c r="D66">
        <v>113</v>
      </c>
      <c r="E66">
        <v>7049</v>
      </c>
      <c r="F66">
        <v>7</v>
      </c>
      <c r="G66">
        <v>4</v>
      </c>
      <c r="H66">
        <v>9.1666666666666661</v>
      </c>
      <c r="I66">
        <v>1.1481481481481479</v>
      </c>
      <c r="J66">
        <v>3.875</v>
      </c>
      <c r="K66">
        <v>3.375</v>
      </c>
      <c r="L66">
        <v>24</v>
      </c>
      <c r="M66">
        <v>24</v>
      </c>
      <c r="N66">
        <v>2</v>
      </c>
      <c r="O66">
        <v>5</v>
      </c>
      <c r="P66">
        <v>324</v>
      </c>
      <c r="Q66">
        <v>96</v>
      </c>
      <c r="R66">
        <v>4</v>
      </c>
      <c r="S66">
        <v>11</v>
      </c>
      <c r="T66">
        <v>684</v>
      </c>
      <c r="U66">
        <v>20</v>
      </c>
      <c r="V66">
        <v>880</v>
      </c>
      <c r="W66">
        <v>372</v>
      </c>
    </row>
    <row r="67" spans="1:23" x14ac:dyDescent="0.2">
      <c r="A67" t="s">
        <v>1124</v>
      </c>
      <c r="B67" t="s">
        <v>157</v>
      </c>
      <c r="C67">
        <v>4.963503360748291</v>
      </c>
      <c r="D67">
        <v>174</v>
      </c>
      <c r="E67">
        <v>1285</v>
      </c>
      <c r="F67">
        <v>8</v>
      </c>
      <c r="G67">
        <v>6</v>
      </c>
      <c r="H67">
        <v>0</v>
      </c>
      <c r="I67">
        <v>1.0588235294117649</v>
      </c>
      <c r="J67">
        <v>2.8125</v>
      </c>
      <c r="K67">
        <v>2.65625</v>
      </c>
      <c r="L67">
        <v>5.333333333333333</v>
      </c>
      <c r="M67">
        <v>0</v>
      </c>
      <c r="N67">
        <v>6</v>
      </c>
      <c r="O67">
        <v>5</v>
      </c>
      <c r="P67">
        <v>85</v>
      </c>
      <c r="Q67">
        <v>32</v>
      </c>
      <c r="R67">
        <v>6</v>
      </c>
      <c r="S67">
        <v>13</v>
      </c>
      <c r="T67">
        <v>326</v>
      </c>
      <c r="U67">
        <v>57</v>
      </c>
      <c r="V67">
        <v>0</v>
      </c>
      <c r="W67">
        <v>90</v>
      </c>
    </row>
    <row r="68" spans="1:23" x14ac:dyDescent="0.2">
      <c r="A68" t="s">
        <v>1125</v>
      </c>
      <c r="B68" t="s">
        <v>157</v>
      </c>
      <c r="C68">
        <v>42.728670358657837</v>
      </c>
      <c r="D68">
        <v>542</v>
      </c>
      <c r="E68">
        <v>5977</v>
      </c>
      <c r="F68">
        <v>7</v>
      </c>
      <c r="G68">
        <v>6</v>
      </c>
      <c r="H68">
        <v>3.125E-2</v>
      </c>
      <c r="I68">
        <v>1</v>
      </c>
      <c r="J68">
        <v>2.71875</v>
      </c>
      <c r="K68">
        <v>2.71875</v>
      </c>
      <c r="L68">
        <v>5.333333333333333</v>
      </c>
      <c r="M68">
        <v>1</v>
      </c>
      <c r="N68">
        <v>1</v>
      </c>
      <c r="O68">
        <v>5</v>
      </c>
      <c r="P68">
        <v>87</v>
      </c>
      <c r="Q68">
        <v>32</v>
      </c>
      <c r="R68">
        <v>6</v>
      </c>
      <c r="S68">
        <v>7</v>
      </c>
      <c r="T68">
        <v>137</v>
      </c>
      <c r="U68">
        <v>24</v>
      </c>
      <c r="V68">
        <v>1</v>
      </c>
      <c r="W68">
        <v>87</v>
      </c>
    </row>
    <row r="69" spans="1:23" x14ac:dyDescent="0.2">
      <c r="A69" t="s">
        <v>1126</v>
      </c>
      <c r="B69" t="s">
        <v>157</v>
      </c>
      <c r="C69">
        <v>10.65448307991028</v>
      </c>
      <c r="D69">
        <v>222</v>
      </c>
      <c r="E69">
        <v>1915</v>
      </c>
      <c r="F69">
        <v>8</v>
      </c>
      <c r="G69">
        <v>6</v>
      </c>
      <c r="H69">
        <v>0</v>
      </c>
      <c r="I69">
        <v>1.0588235294117649</v>
      </c>
      <c r="J69">
        <v>2.8125</v>
      </c>
      <c r="K69">
        <v>2.65625</v>
      </c>
      <c r="L69">
        <v>5.333333333333333</v>
      </c>
      <c r="M69">
        <v>0</v>
      </c>
      <c r="N69">
        <v>6</v>
      </c>
      <c r="O69">
        <v>5</v>
      </c>
      <c r="P69">
        <v>85</v>
      </c>
      <c r="Q69">
        <v>32</v>
      </c>
      <c r="R69">
        <v>6</v>
      </c>
      <c r="S69">
        <v>13</v>
      </c>
      <c r="T69">
        <v>326</v>
      </c>
      <c r="U69">
        <v>57</v>
      </c>
      <c r="V69">
        <v>0</v>
      </c>
      <c r="W69">
        <v>90</v>
      </c>
    </row>
    <row r="70" spans="1:23" x14ac:dyDescent="0.2">
      <c r="A70" t="s">
        <v>1127</v>
      </c>
      <c r="B70" t="s">
        <v>157</v>
      </c>
      <c r="C70">
        <v>17.386076927185059</v>
      </c>
      <c r="D70">
        <v>374</v>
      </c>
      <c r="E70">
        <v>2244</v>
      </c>
      <c r="F70">
        <v>7</v>
      </c>
      <c r="G70">
        <v>6</v>
      </c>
      <c r="H70">
        <v>3.125E-2</v>
      </c>
      <c r="I70">
        <v>1</v>
      </c>
      <c r="J70">
        <v>2.71875</v>
      </c>
      <c r="K70">
        <v>2.71875</v>
      </c>
      <c r="L70">
        <v>5.333333333333333</v>
      </c>
      <c r="M70">
        <v>1</v>
      </c>
      <c r="N70">
        <v>1</v>
      </c>
      <c r="O70">
        <v>5</v>
      </c>
      <c r="P70">
        <v>87</v>
      </c>
      <c r="Q70">
        <v>32</v>
      </c>
      <c r="R70">
        <v>6</v>
      </c>
      <c r="S70">
        <v>7</v>
      </c>
      <c r="T70">
        <v>137</v>
      </c>
      <c r="U70">
        <v>24</v>
      </c>
      <c r="V70">
        <v>1</v>
      </c>
      <c r="W70">
        <v>87</v>
      </c>
    </row>
    <row r="71" spans="1:23" x14ac:dyDescent="0.2">
      <c r="A71" t="s">
        <v>1128</v>
      </c>
      <c r="B71" t="s">
        <v>158</v>
      </c>
      <c r="C71" t="s">
        <v>159</v>
      </c>
      <c r="D71" t="s">
        <v>159</v>
      </c>
      <c r="E71" t="s">
        <v>159</v>
      </c>
      <c r="F71" t="s">
        <v>159</v>
      </c>
      <c r="G71" t="s">
        <v>159</v>
      </c>
      <c r="H71" t="s">
        <v>159</v>
      </c>
      <c r="I71" t="s">
        <v>159</v>
      </c>
      <c r="J71" t="s">
        <v>159</v>
      </c>
      <c r="K71" t="s">
        <v>159</v>
      </c>
      <c r="L71" t="s">
        <v>159</v>
      </c>
      <c r="M71" t="s">
        <v>159</v>
      </c>
      <c r="N71" t="s">
        <v>159</v>
      </c>
      <c r="O71" t="s">
        <v>159</v>
      </c>
      <c r="P71" t="s">
        <v>159</v>
      </c>
      <c r="Q71" t="s">
        <v>159</v>
      </c>
      <c r="R71" t="s">
        <v>159</v>
      </c>
      <c r="S71" t="s">
        <v>159</v>
      </c>
      <c r="T71" t="s">
        <v>159</v>
      </c>
      <c r="U71" t="s">
        <v>159</v>
      </c>
      <c r="V71" t="s">
        <v>159</v>
      </c>
      <c r="W71" t="s">
        <v>159</v>
      </c>
    </row>
    <row r="72" spans="1:23" x14ac:dyDescent="0.2">
      <c r="A72" t="s">
        <v>1129</v>
      </c>
      <c r="B72" t="s">
        <v>158</v>
      </c>
      <c r="C72" t="s">
        <v>159</v>
      </c>
      <c r="D72" t="s">
        <v>159</v>
      </c>
      <c r="E72" t="s">
        <v>159</v>
      </c>
      <c r="F72" t="s">
        <v>159</v>
      </c>
      <c r="G72" t="s">
        <v>159</v>
      </c>
      <c r="H72" t="s">
        <v>159</v>
      </c>
      <c r="I72" t="s">
        <v>159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 t="s">
        <v>159</v>
      </c>
      <c r="P72" t="s">
        <v>159</v>
      </c>
      <c r="Q72" t="s">
        <v>159</v>
      </c>
      <c r="R72" t="s">
        <v>159</v>
      </c>
      <c r="S72" t="s">
        <v>159</v>
      </c>
      <c r="T72" t="s">
        <v>159</v>
      </c>
      <c r="U72" t="s">
        <v>159</v>
      </c>
      <c r="V72" t="s">
        <v>159</v>
      </c>
      <c r="W72" t="s">
        <v>159</v>
      </c>
    </row>
    <row r="73" spans="1:23" x14ac:dyDescent="0.2">
      <c r="A73" t="s">
        <v>1130</v>
      </c>
      <c r="B73" t="s">
        <v>157</v>
      </c>
      <c r="C73">
        <v>98.196572542190566</v>
      </c>
      <c r="D73">
        <v>85</v>
      </c>
      <c r="E73">
        <v>3796</v>
      </c>
      <c r="F73">
        <v>7</v>
      </c>
      <c r="G73">
        <v>4</v>
      </c>
      <c r="H73">
        <v>9.3333333333333339</v>
      </c>
      <c r="I73">
        <v>1.142857142857143</v>
      </c>
      <c r="J73">
        <v>4</v>
      </c>
      <c r="K73">
        <v>3.5</v>
      </c>
      <c r="L73">
        <v>24</v>
      </c>
      <c r="M73">
        <v>24</v>
      </c>
      <c r="N73">
        <v>2</v>
      </c>
      <c r="O73">
        <v>5</v>
      </c>
      <c r="P73">
        <v>336</v>
      </c>
      <c r="Q73">
        <v>96</v>
      </c>
      <c r="R73">
        <v>4</v>
      </c>
      <c r="S73">
        <v>11</v>
      </c>
      <c r="T73">
        <v>672</v>
      </c>
      <c r="U73">
        <v>20</v>
      </c>
      <c r="V73">
        <v>896</v>
      </c>
      <c r="W73">
        <v>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3"/>
  <sheetViews>
    <sheetView tabSelected="1" workbookViewId="0"/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1131</v>
      </c>
      <c r="B2" t="s">
        <v>157</v>
      </c>
      <c r="C2">
        <v>4.9459159374237061</v>
      </c>
      <c r="D2">
        <v>203</v>
      </c>
      <c r="E2">
        <v>1905</v>
      </c>
      <c r="F2">
        <v>8</v>
      </c>
      <c r="G2">
        <v>6</v>
      </c>
      <c r="H2">
        <v>0</v>
      </c>
      <c r="I2">
        <v>1.056179775280899</v>
      </c>
      <c r="J2">
        <v>2.9375</v>
      </c>
      <c r="K2">
        <v>2.78125</v>
      </c>
      <c r="L2">
        <v>5.333333333333333</v>
      </c>
      <c r="M2">
        <v>0</v>
      </c>
      <c r="N2">
        <v>6</v>
      </c>
      <c r="O2">
        <v>5</v>
      </c>
      <c r="P2">
        <v>89</v>
      </c>
      <c r="Q2">
        <v>32</v>
      </c>
      <c r="R2">
        <v>6</v>
      </c>
      <c r="S2">
        <v>13</v>
      </c>
      <c r="T2">
        <v>322</v>
      </c>
      <c r="U2">
        <v>57</v>
      </c>
      <c r="V2">
        <v>0</v>
      </c>
      <c r="W2">
        <v>94</v>
      </c>
    </row>
    <row r="3" spans="1:23" x14ac:dyDescent="0.2">
      <c r="A3" t="s">
        <v>1132</v>
      </c>
      <c r="B3" t="s">
        <v>157</v>
      </c>
      <c r="C3">
        <v>3.591680526733398</v>
      </c>
      <c r="D3">
        <v>180</v>
      </c>
      <c r="E3">
        <v>1550</v>
      </c>
      <c r="F3">
        <v>8</v>
      </c>
      <c r="G3">
        <v>6</v>
      </c>
      <c r="H3">
        <v>0</v>
      </c>
      <c r="I3">
        <v>1.056179775280899</v>
      </c>
      <c r="J3">
        <v>2.9375</v>
      </c>
      <c r="K3">
        <v>2.78125</v>
      </c>
      <c r="L3">
        <v>5.333333333333333</v>
      </c>
      <c r="M3">
        <v>0</v>
      </c>
      <c r="N3">
        <v>6</v>
      </c>
      <c r="O3">
        <v>5</v>
      </c>
      <c r="P3">
        <v>89</v>
      </c>
      <c r="Q3">
        <v>32</v>
      </c>
      <c r="R3">
        <v>6</v>
      </c>
      <c r="S3">
        <v>13</v>
      </c>
      <c r="T3">
        <v>322</v>
      </c>
      <c r="U3">
        <v>57</v>
      </c>
      <c r="V3">
        <v>0</v>
      </c>
      <c r="W3">
        <v>94</v>
      </c>
    </row>
    <row r="4" spans="1:23" x14ac:dyDescent="0.2">
      <c r="A4" t="s">
        <v>1133</v>
      </c>
      <c r="B4" t="s">
        <v>157</v>
      </c>
      <c r="C4">
        <v>15.76298332214356</v>
      </c>
      <c r="D4">
        <v>328</v>
      </c>
      <c r="E4">
        <v>2486</v>
      </c>
      <c r="F4">
        <v>7</v>
      </c>
      <c r="G4">
        <v>6</v>
      </c>
      <c r="H4">
        <v>3.125E-2</v>
      </c>
      <c r="I4">
        <v>1</v>
      </c>
      <c r="J4">
        <v>2.75</v>
      </c>
      <c r="K4">
        <v>2.75</v>
      </c>
      <c r="L4">
        <v>5.333333333333333</v>
      </c>
      <c r="M4">
        <v>1</v>
      </c>
      <c r="N4">
        <v>1</v>
      </c>
      <c r="O4">
        <v>5</v>
      </c>
      <c r="P4">
        <v>88</v>
      </c>
      <c r="Q4">
        <v>32</v>
      </c>
      <c r="R4">
        <v>6</v>
      </c>
      <c r="S4">
        <v>7</v>
      </c>
      <c r="T4">
        <v>136</v>
      </c>
      <c r="U4">
        <v>25</v>
      </c>
      <c r="V4">
        <v>1</v>
      </c>
      <c r="W4">
        <v>88</v>
      </c>
    </row>
    <row r="5" spans="1:23" x14ac:dyDescent="0.2">
      <c r="A5" t="s">
        <v>1134</v>
      </c>
      <c r="B5" t="s">
        <v>157</v>
      </c>
      <c r="C5">
        <v>10.674653291702271</v>
      </c>
      <c r="D5">
        <v>390</v>
      </c>
      <c r="E5">
        <v>2686</v>
      </c>
      <c r="F5">
        <v>7</v>
      </c>
      <c r="G5">
        <v>6</v>
      </c>
      <c r="H5">
        <v>3.125E-2</v>
      </c>
      <c r="I5">
        <v>1</v>
      </c>
      <c r="J5">
        <v>2.75</v>
      </c>
      <c r="K5">
        <v>2.75</v>
      </c>
      <c r="L5">
        <v>5.333333333333333</v>
      </c>
      <c r="M5">
        <v>1</v>
      </c>
      <c r="N5">
        <v>1</v>
      </c>
      <c r="O5">
        <v>5</v>
      </c>
      <c r="P5">
        <v>88</v>
      </c>
      <c r="Q5">
        <v>32</v>
      </c>
      <c r="R5">
        <v>6</v>
      </c>
      <c r="S5">
        <v>7</v>
      </c>
      <c r="T5">
        <v>136</v>
      </c>
      <c r="U5">
        <v>25</v>
      </c>
      <c r="V5">
        <v>1</v>
      </c>
      <c r="W5">
        <v>88</v>
      </c>
    </row>
    <row r="6" spans="1:23" x14ac:dyDescent="0.2">
      <c r="A6" t="s">
        <v>1135</v>
      </c>
      <c r="B6" t="s">
        <v>157</v>
      </c>
      <c r="C6">
        <v>15.220782995224001</v>
      </c>
      <c r="D6">
        <v>321</v>
      </c>
      <c r="E6">
        <v>1187</v>
      </c>
      <c r="F6">
        <v>7</v>
      </c>
      <c r="G6">
        <v>6</v>
      </c>
      <c r="H6">
        <v>3.125E-2</v>
      </c>
      <c r="I6">
        <v>1</v>
      </c>
      <c r="J6">
        <v>2.75</v>
      </c>
      <c r="K6">
        <v>2.75</v>
      </c>
      <c r="L6">
        <v>5.333333333333333</v>
      </c>
      <c r="M6">
        <v>1</v>
      </c>
      <c r="N6">
        <v>1</v>
      </c>
      <c r="O6">
        <v>5</v>
      </c>
      <c r="P6">
        <v>88</v>
      </c>
      <c r="Q6">
        <v>32</v>
      </c>
      <c r="R6">
        <v>6</v>
      </c>
      <c r="S6">
        <v>7</v>
      </c>
      <c r="T6">
        <v>136</v>
      </c>
      <c r="U6">
        <v>25</v>
      </c>
      <c r="V6">
        <v>1</v>
      </c>
      <c r="W6">
        <v>88</v>
      </c>
    </row>
    <row r="7" spans="1:23" x14ac:dyDescent="0.2">
      <c r="A7" t="s">
        <v>1136</v>
      </c>
      <c r="B7" t="s">
        <v>157</v>
      </c>
      <c r="C7">
        <v>26.415345430374149</v>
      </c>
      <c r="D7">
        <v>17</v>
      </c>
      <c r="E7">
        <v>4340</v>
      </c>
      <c r="F7">
        <v>7</v>
      </c>
      <c r="G7">
        <v>4</v>
      </c>
      <c r="H7">
        <v>9.3333333333333339</v>
      </c>
      <c r="I7">
        <v>1.1445783132530121</v>
      </c>
      <c r="J7">
        <v>3.958333333333333</v>
      </c>
      <c r="K7">
        <v>3.458333333333333</v>
      </c>
      <c r="L7">
        <v>24</v>
      </c>
      <c r="M7">
        <v>24</v>
      </c>
      <c r="N7">
        <v>2</v>
      </c>
      <c r="O7">
        <v>5</v>
      </c>
      <c r="P7">
        <v>332</v>
      </c>
      <c r="Q7">
        <v>96</v>
      </c>
      <c r="R7">
        <v>4</v>
      </c>
      <c r="S7">
        <v>11</v>
      </c>
      <c r="T7">
        <v>676</v>
      </c>
      <c r="U7">
        <v>20</v>
      </c>
      <c r="V7">
        <v>896</v>
      </c>
      <c r="W7">
        <v>380</v>
      </c>
    </row>
    <row r="8" spans="1:23" x14ac:dyDescent="0.2">
      <c r="A8" t="s">
        <v>1137</v>
      </c>
      <c r="B8" t="s">
        <v>157</v>
      </c>
      <c r="C8">
        <v>45.641952514648438</v>
      </c>
      <c r="D8">
        <v>51</v>
      </c>
      <c r="E8">
        <v>4003</v>
      </c>
      <c r="F8">
        <v>7</v>
      </c>
      <c r="G8">
        <v>4</v>
      </c>
      <c r="H8">
        <v>9.3333333333333339</v>
      </c>
      <c r="I8">
        <v>1.1445783132530121</v>
      </c>
      <c r="J8">
        <v>3.958333333333333</v>
      </c>
      <c r="K8">
        <v>3.458333333333333</v>
      </c>
      <c r="L8">
        <v>24</v>
      </c>
      <c r="M8">
        <v>24</v>
      </c>
      <c r="N8">
        <v>2</v>
      </c>
      <c r="O8">
        <v>5</v>
      </c>
      <c r="P8">
        <v>332</v>
      </c>
      <c r="Q8">
        <v>96</v>
      </c>
      <c r="R8">
        <v>4</v>
      </c>
      <c r="S8">
        <v>11</v>
      </c>
      <c r="T8">
        <v>676</v>
      </c>
      <c r="U8">
        <v>20</v>
      </c>
      <c r="V8">
        <v>896</v>
      </c>
      <c r="W8">
        <v>380</v>
      </c>
    </row>
    <row r="9" spans="1:23" x14ac:dyDescent="0.2">
      <c r="A9" t="s">
        <v>1138</v>
      </c>
      <c r="B9" t="s">
        <v>158</v>
      </c>
      <c r="C9" t="s">
        <v>159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  <c r="J9" t="s">
        <v>159</v>
      </c>
      <c r="K9" t="s">
        <v>159</v>
      </c>
      <c r="L9" t="s">
        <v>159</v>
      </c>
      <c r="M9" t="s">
        <v>159</v>
      </c>
      <c r="N9" t="s">
        <v>159</v>
      </c>
      <c r="O9" t="s">
        <v>159</v>
      </c>
      <c r="P9" t="s">
        <v>159</v>
      </c>
      <c r="Q9" t="s">
        <v>159</v>
      </c>
      <c r="R9" t="s">
        <v>159</v>
      </c>
      <c r="S9" t="s">
        <v>159</v>
      </c>
      <c r="T9" t="s">
        <v>159</v>
      </c>
      <c r="U9" t="s">
        <v>159</v>
      </c>
      <c r="V9" t="s">
        <v>159</v>
      </c>
      <c r="W9" t="s">
        <v>159</v>
      </c>
    </row>
    <row r="10" spans="1:23" x14ac:dyDescent="0.2">
      <c r="A10" t="s">
        <v>1139</v>
      </c>
      <c r="B10" t="s">
        <v>157</v>
      </c>
      <c r="C10">
        <v>12.12039399147034</v>
      </c>
      <c r="D10">
        <v>443</v>
      </c>
      <c r="E10">
        <v>3461</v>
      </c>
      <c r="F10">
        <v>7</v>
      </c>
      <c r="G10">
        <v>6</v>
      </c>
      <c r="H10">
        <v>3.125E-2</v>
      </c>
      <c r="I10">
        <v>1</v>
      </c>
      <c r="J10">
        <v>2.75</v>
      </c>
      <c r="K10">
        <v>2.75</v>
      </c>
      <c r="L10">
        <v>5.333333333333333</v>
      </c>
      <c r="M10">
        <v>1</v>
      </c>
      <c r="N10">
        <v>1</v>
      </c>
      <c r="O10">
        <v>5</v>
      </c>
      <c r="P10">
        <v>88</v>
      </c>
      <c r="Q10">
        <v>32</v>
      </c>
      <c r="R10">
        <v>6</v>
      </c>
      <c r="S10">
        <v>7</v>
      </c>
      <c r="T10">
        <v>136</v>
      </c>
      <c r="U10">
        <v>25</v>
      </c>
      <c r="V10">
        <v>1</v>
      </c>
      <c r="W10">
        <v>88</v>
      </c>
    </row>
    <row r="11" spans="1:23" x14ac:dyDescent="0.2">
      <c r="A11" t="s">
        <v>1140</v>
      </c>
      <c r="B11" t="s">
        <v>157</v>
      </c>
      <c r="C11">
        <v>166.5056965351105</v>
      </c>
      <c r="D11">
        <v>152</v>
      </c>
      <c r="E11">
        <v>7020</v>
      </c>
      <c r="F11">
        <v>7</v>
      </c>
      <c r="G11">
        <v>4</v>
      </c>
      <c r="H11">
        <v>9.3333333333333339</v>
      </c>
      <c r="I11">
        <v>1.1445783132530121</v>
      </c>
      <c r="J11">
        <v>3.958333333333333</v>
      </c>
      <c r="K11">
        <v>3.458333333333333</v>
      </c>
      <c r="L11">
        <v>24</v>
      </c>
      <c r="M11">
        <v>24</v>
      </c>
      <c r="N11">
        <v>2</v>
      </c>
      <c r="O11">
        <v>5</v>
      </c>
      <c r="P11">
        <v>332</v>
      </c>
      <c r="Q11">
        <v>96</v>
      </c>
      <c r="R11">
        <v>4</v>
      </c>
      <c r="S11">
        <v>11</v>
      </c>
      <c r="T11">
        <v>676</v>
      </c>
      <c r="U11">
        <v>20</v>
      </c>
      <c r="V11">
        <v>896</v>
      </c>
      <c r="W11">
        <v>380</v>
      </c>
    </row>
    <row r="12" spans="1:23" x14ac:dyDescent="0.2">
      <c r="A12" t="s">
        <v>1141</v>
      </c>
      <c r="B12" t="s">
        <v>157</v>
      </c>
      <c r="C12">
        <v>41.335447072982788</v>
      </c>
      <c r="D12">
        <v>87</v>
      </c>
      <c r="E12">
        <v>4965</v>
      </c>
      <c r="F12">
        <v>7</v>
      </c>
      <c r="G12">
        <v>4</v>
      </c>
      <c r="H12">
        <v>9.3333333333333339</v>
      </c>
      <c r="I12">
        <v>1.1445783132530121</v>
      </c>
      <c r="J12">
        <v>3.958333333333333</v>
      </c>
      <c r="K12">
        <v>3.458333333333333</v>
      </c>
      <c r="L12">
        <v>24</v>
      </c>
      <c r="M12">
        <v>24</v>
      </c>
      <c r="N12">
        <v>2</v>
      </c>
      <c r="O12">
        <v>5</v>
      </c>
      <c r="P12">
        <v>332</v>
      </c>
      <c r="Q12">
        <v>96</v>
      </c>
      <c r="R12">
        <v>4</v>
      </c>
      <c r="S12">
        <v>11</v>
      </c>
      <c r="T12">
        <v>676</v>
      </c>
      <c r="U12">
        <v>20</v>
      </c>
      <c r="V12">
        <v>896</v>
      </c>
      <c r="W12">
        <v>380</v>
      </c>
    </row>
    <row r="13" spans="1:23" x14ac:dyDescent="0.2">
      <c r="A13" t="s">
        <v>1142</v>
      </c>
      <c r="B13" t="s">
        <v>157</v>
      </c>
      <c r="C13">
        <v>4.1817517280578613</v>
      </c>
      <c r="D13">
        <v>188</v>
      </c>
      <c r="E13">
        <v>1626</v>
      </c>
      <c r="F13">
        <v>8</v>
      </c>
      <c r="G13">
        <v>6</v>
      </c>
      <c r="H13">
        <v>0</v>
      </c>
      <c r="I13">
        <v>1.056179775280899</v>
      </c>
      <c r="J13">
        <v>2.9375</v>
      </c>
      <c r="K13">
        <v>2.78125</v>
      </c>
      <c r="L13">
        <v>5.333333333333333</v>
      </c>
      <c r="M13">
        <v>0</v>
      </c>
      <c r="N13">
        <v>6</v>
      </c>
      <c r="O13">
        <v>5</v>
      </c>
      <c r="P13">
        <v>89</v>
      </c>
      <c r="Q13">
        <v>32</v>
      </c>
      <c r="R13">
        <v>6</v>
      </c>
      <c r="S13">
        <v>13</v>
      </c>
      <c r="T13">
        <v>322</v>
      </c>
      <c r="U13">
        <v>57</v>
      </c>
      <c r="V13">
        <v>0</v>
      </c>
      <c r="W13">
        <v>94</v>
      </c>
    </row>
    <row r="14" spans="1:23" x14ac:dyDescent="0.2">
      <c r="A14" t="s">
        <v>1143</v>
      </c>
      <c r="B14" t="s">
        <v>157</v>
      </c>
      <c r="C14">
        <v>3.3003780841827388</v>
      </c>
      <c r="D14">
        <v>197</v>
      </c>
      <c r="E14">
        <v>1801</v>
      </c>
      <c r="F14">
        <v>8</v>
      </c>
      <c r="G14">
        <v>6</v>
      </c>
      <c r="H14">
        <v>0</v>
      </c>
      <c r="I14">
        <v>1.056179775280899</v>
      </c>
      <c r="J14">
        <v>2.9375</v>
      </c>
      <c r="K14">
        <v>2.78125</v>
      </c>
      <c r="L14">
        <v>5.333333333333333</v>
      </c>
      <c r="M14">
        <v>0</v>
      </c>
      <c r="N14">
        <v>6</v>
      </c>
      <c r="O14">
        <v>5</v>
      </c>
      <c r="P14">
        <v>89</v>
      </c>
      <c r="Q14">
        <v>32</v>
      </c>
      <c r="R14">
        <v>6</v>
      </c>
      <c r="S14">
        <v>13</v>
      </c>
      <c r="T14">
        <v>322</v>
      </c>
      <c r="U14">
        <v>57</v>
      </c>
      <c r="V14">
        <v>0</v>
      </c>
      <c r="W14">
        <v>94</v>
      </c>
    </row>
    <row r="15" spans="1:23" x14ac:dyDescent="0.2">
      <c r="A15" t="s">
        <v>1144</v>
      </c>
      <c r="B15" t="s">
        <v>157</v>
      </c>
      <c r="C15">
        <v>3.5235342979431148</v>
      </c>
      <c r="D15">
        <v>183</v>
      </c>
      <c r="E15">
        <v>1417</v>
      </c>
      <c r="F15">
        <v>8</v>
      </c>
      <c r="G15">
        <v>6</v>
      </c>
      <c r="H15">
        <v>0</v>
      </c>
      <c r="I15">
        <v>1.056179775280899</v>
      </c>
      <c r="J15">
        <v>2.9375</v>
      </c>
      <c r="K15">
        <v>2.78125</v>
      </c>
      <c r="L15">
        <v>5.333333333333333</v>
      </c>
      <c r="M15">
        <v>0</v>
      </c>
      <c r="N15">
        <v>6</v>
      </c>
      <c r="O15">
        <v>5</v>
      </c>
      <c r="P15">
        <v>89</v>
      </c>
      <c r="Q15">
        <v>32</v>
      </c>
      <c r="R15">
        <v>6</v>
      </c>
      <c r="S15">
        <v>13</v>
      </c>
      <c r="T15">
        <v>322</v>
      </c>
      <c r="U15">
        <v>57</v>
      </c>
      <c r="V15">
        <v>0</v>
      </c>
      <c r="W15">
        <v>94</v>
      </c>
    </row>
    <row r="16" spans="1:23" x14ac:dyDescent="0.2">
      <c r="A16" t="s">
        <v>1145</v>
      </c>
      <c r="B16" t="s">
        <v>158</v>
      </c>
      <c r="C16" t="s">
        <v>159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  <c r="I16" t="s">
        <v>159</v>
      </c>
      <c r="J16" t="s">
        <v>159</v>
      </c>
      <c r="K16" t="s">
        <v>159</v>
      </c>
      <c r="L16" t="s">
        <v>159</v>
      </c>
      <c r="M16" t="s">
        <v>159</v>
      </c>
      <c r="N16" t="s">
        <v>159</v>
      </c>
      <c r="O16" t="s">
        <v>159</v>
      </c>
      <c r="P16" t="s">
        <v>159</v>
      </c>
      <c r="Q16" t="s">
        <v>159</v>
      </c>
      <c r="R16" t="s">
        <v>159</v>
      </c>
      <c r="S16" t="s">
        <v>159</v>
      </c>
      <c r="T16" t="s">
        <v>159</v>
      </c>
      <c r="U16" t="s">
        <v>159</v>
      </c>
      <c r="V16" t="s">
        <v>159</v>
      </c>
      <c r="W16" t="s">
        <v>159</v>
      </c>
    </row>
    <row r="17" spans="1:23" x14ac:dyDescent="0.2">
      <c r="A17" t="s">
        <v>1146</v>
      </c>
      <c r="B17" t="s">
        <v>157</v>
      </c>
      <c r="C17">
        <v>23.906224727630619</v>
      </c>
      <c r="D17">
        <v>61</v>
      </c>
      <c r="E17">
        <v>3363</v>
      </c>
      <c r="F17">
        <v>7</v>
      </c>
      <c r="G17">
        <v>4</v>
      </c>
      <c r="H17">
        <v>9.3333333333333339</v>
      </c>
      <c r="I17">
        <v>1.1445783132530121</v>
      </c>
      <c r="J17">
        <v>3.958333333333333</v>
      </c>
      <c r="K17">
        <v>3.458333333333333</v>
      </c>
      <c r="L17">
        <v>24</v>
      </c>
      <c r="M17">
        <v>24</v>
      </c>
      <c r="N17">
        <v>2</v>
      </c>
      <c r="O17">
        <v>5</v>
      </c>
      <c r="P17">
        <v>332</v>
      </c>
      <c r="Q17">
        <v>96</v>
      </c>
      <c r="R17">
        <v>4</v>
      </c>
      <c r="S17">
        <v>11</v>
      </c>
      <c r="T17">
        <v>676</v>
      </c>
      <c r="U17">
        <v>20</v>
      </c>
      <c r="V17">
        <v>896</v>
      </c>
      <c r="W17">
        <v>380</v>
      </c>
    </row>
    <row r="18" spans="1:23" x14ac:dyDescent="0.2">
      <c r="A18" t="s">
        <v>1147</v>
      </c>
      <c r="B18" t="s">
        <v>157</v>
      </c>
      <c r="C18">
        <v>9.8505713939666766</v>
      </c>
      <c r="D18">
        <v>482</v>
      </c>
      <c r="E18">
        <v>2697</v>
      </c>
      <c r="F18">
        <v>7</v>
      </c>
      <c r="G18">
        <v>6</v>
      </c>
      <c r="H18">
        <v>3.125E-2</v>
      </c>
      <c r="I18">
        <v>1</v>
      </c>
      <c r="J18">
        <v>2.75</v>
      </c>
      <c r="K18">
        <v>2.75</v>
      </c>
      <c r="L18">
        <v>5.333333333333333</v>
      </c>
      <c r="M18">
        <v>1</v>
      </c>
      <c r="N18">
        <v>1</v>
      </c>
      <c r="O18">
        <v>5</v>
      </c>
      <c r="P18">
        <v>88</v>
      </c>
      <c r="Q18">
        <v>32</v>
      </c>
      <c r="R18">
        <v>6</v>
      </c>
      <c r="S18">
        <v>7</v>
      </c>
      <c r="T18">
        <v>136</v>
      </c>
      <c r="U18">
        <v>25</v>
      </c>
      <c r="V18">
        <v>1</v>
      </c>
      <c r="W18">
        <v>88</v>
      </c>
    </row>
    <row r="19" spans="1:23" x14ac:dyDescent="0.2">
      <c r="A19" t="s">
        <v>1148</v>
      </c>
      <c r="B19" t="s">
        <v>157</v>
      </c>
      <c r="C19">
        <v>4.1271612644195557</v>
      </c>
      <c r="D19">
        <v>188</v>
      </c>
      <c r="E19">
        <v>1627</v>
      </c>
      <c r="F19">
        <v>8</v>
      </c>
      <c r="G19">
        <v>6</v>
      </c>
      <c r="H19">
        <v>0</v>
      </c>
      <c r="I19">
        <v>1.056179775280899</v>
      </c>
      <c r="J19">
        <v>2.9375</v>
      </c>
      <c r="K19">
        <v>2.78125</v>
      </c>
      <c r="L19">
        <v>5.333333333333333</v>
      </c>
      <c r="M19">
        <v>0</v>
      </c>
      <c r="N19">
        <v>6</v>
      </c>
      <c r="O19">
        <v>5</v>
      </c>
      <c r="P19">
        <v>89</v>
      </c>
      <c r="Q19">
        <v>32</v>
      </c>
      <c r="R19">
        <v>6</v>
      </c>
      <c r="S19">
        <v>13</v>
      </c>
      <c r="T19">
        <v>322</v>
      </c>
      <c r="U19">
        <v>57</v>
      </c>
      <c r="V19">
        <v>0</v>
      </c>
      <c r="W19">
        <v>94</v>
      </c>
    </row>
    <row r="20" spans="1:23" x14ac:dyDescent="0.2">
      <c r="A20" t="s">
        <v>1149</v>
      </c>
      <c r="B20" t="s">
        <v>157</v>
      </c>
      <c r="C20">
        <v>26.864748001098629</v>
      </c>
      <c r="D20">
        <v>88</v>
      </c>
      <c r="E20">
        <v>3941</v>
      </c>
      <c r="F20">
        <v>7</v>
      </c>
      <c r="G20">
        <v>4</v>
      </c>
      <c r="H20">
        <v>9.3333333333333339</v>
      </c>
      <c r="I20">
        <v>1.1445783132530121</v>
      </c>
      <c r="J20">
        <v>3.958333333333333</v>
      </c>
      <c r="K20">
        <v>3.458333333333333</v>
      </c>
      <c r="L20">
        <v>24</v>
      </c>
      <c r="M20">
        <v>24</v>
      </c>
      <c r="N20">
        <v>2</v>
      </c>
      <c r="O20">
        <v>5</v>
      </c>
      <c r="P20">
        <v>332</v>
      </c>
      <c r="Q20">
        <v>96</v>
      </c>
      <c r="R20">
        <v>4</v>
      </c>
      <c r="S20">
        <v>11</v>
      </c>
      <c r="T20">
        <v>676</v>
      </c>
      <c r="U20">
        <v>20</v>
      </c>
      <c r="V20">
        <v>896</v>
      </c>
      <c r="W20">
        <v>380</v>
      </c>
    </row>
    <row r="21" spans="1:23" x14ac:dyDescent="0.2">
      <c r="A21" t="s">
        <v>1150</v>
      </c>
      <c r="B21" t="s">
        <v>157</v>
      </c>
      <c r="C21">
        <v>6.3363676071166992</v>
      </c>
      <c r="D21">
        <v>235</v>
      </c>
      <c r="E21">
        <v>887</v>
      </c>
      <c r="F21">
        <v>7</v>
      </c>
      <c r="G21">
        <v>6</v>
      </c>
      <c r="H21">
        <v>6.25E-2</v>
      </c>
      <c r="I21">
        <v>0.98630136986301364</v>
      </c>
      <c r="J21">
        <v>2.25</v>
      </c>
      <c r="K21">
        <v>2.28125</v>
      </c>
      <c r="L21">
        <v>5.333333333333333</v>
      </c>
      <c r="M21">
        <v>1</v>
      </c>
      <c r="N21">
        <v>1</v>
      </c>
      <c r="O21">
        <v>4</v>
      </c>
      <c r="P21">
        <v>73</v>
      </c>
      <c r="Q21">
        <v>32</v>
      </c>
      <c r="R21">
        <v>6</v>
      </c>
      <c r="S21">
        <v>6</v>
      </c>
      <c r="T21">
        <v>120</v>
      </c>
      <c r="U21">
        <v>21</v>
      </c>
      <c r="V21">
        <v>2</v>
      </c>
      <c r="W21">
        <v>72</v>
      </c>
    </row>
    <row r="22" spans="1:23" x14ac:dyDescent="0.2">
      <c r="A22" t="s">
        <v>1151</v>
      </c>
      <c r="B22" t="s">
        <v>157</v>
      </c>
      <c r="C22">
        <v>10.956145524978639</v>
      </c>
      <c r="D22">
        <v>411</v>
      </c>
      <c r="E22">
        <v>3327</v>
      </c>
      <c r="F22">
        <v>7</v>
      </c>
      <c r="G22">
        <v>6</v>
      </c>
      <c r="H22">
        <v>3.125E-2</v>
      </c>
      <c r="I22">
        <v>1</v>
      </c>
      <c r="J22">
        <v>2.75</v>
      </c>
      <c r="K22">
        <v>2.75</v>
      </c>
      <c r="L22">
        <v>5.333333333333333</v>
      </c>
      <c r="M22">
        <v>1</v>
      </c>
      <c r="N22">
        <v>1</v>
      </c>
      <c r="O22">
        <v>5</v>
      </c>
      <c r="P22">
        <v>88</v>
      </c>
      <c r="Q22">
        <v>32</v>
      </c>
      <c r="R22">
        <v>6</v>
      </c>
      <c r="S22">
        <v>7</v>
      </c>
      <c r="T22">
        <v>136</v>
      </c>
      <c r="U22">
        <v>25</v>
      </c>
      <c r="V22">
        <v>1</v>
      </c>
      <c r="W22">
        <v>88</v>
      </c>
    </row>
    <row r="23" spans="1:23" x14ac:dyDescent="0.2">
      <c r="A23" t="s">
        <v>1152</v>
      </c>
      <c r="B23" t="s">
        <v>157</v>
      </c>
      <c r="C23">
        <v>4.117328405380249</v>
      </c>
      <c r="D23">
        <v>140</v>
      </c>
      <c r="E23">
        <v>604</v>
      </c>
      <c r="F23">
        <v>7</v>
      </c>
      <c r="G23">
        <v>6</v>
      </c>
      <c r="H23">
        <v>7.1428571428571425E-2</v>
      </c>
      <c r="I23">
        <v>1.178571428571429</v>
      </c>
      <c r="J23">
        <v>2.3571428571428572</v>
      </c>
      <c r="K23">
        <v>2</v>
      </c>
      <c r="L23">
        <v>4.666666666666667</v>
      </c>
      <c r="M23">
        <v>1</v>
      </c>
      <c r="N23">
        <v>5</v>
      </c>
      <c r="O23">
        <v>4</v>
      </c>
      <c r="P23">
        <v>56</v>
      </c>
      <c r="Q23">
        <v>28</v>
      </c>
      <c r="R23">
        <v>6</v>
      </c>
      <c r="S23">
        <v>11</v>
      </c>
      <c r="T23">
        <v>242</v>
      </c>
      <c r="U23">
        <v>50</v>
      </c>
      <c r="V23">
        <v>2</v>
      </c>
      <c r="W23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1153</v>
      </c>
      <c r="B2" t="s">
        <v>157</v>
      </c>
      <c r="C2">
        <v>0.74966168403625488</v>
      </c>
      <c r="D2">
        <v>89</v>
      </c>
      <c r="E2">
        <v>382</v>
      </c>
      <c r="F2">
        <v>8</v>
      </c>
      <c r="G2">
        <v>6</v>
      </c>
      <c r="H2">
        <v>0</v>
      </c>
      <c r="I2">
        <v>1.0543478260869561</v>
      </c>
      <c r="J2">
        <v>3.03125</v>
      </c>
      <c r="K2">
        <v>2.875</v>
      </c>
      <c r="L2">
        <v>5.333333333333333</v>
      </c>
      <c r="M2">
        <v>0</v>
      </c>
      <c r="N2">
        <v>6</v>
      </c>
      <c r="O2">
        <v>5</v>
      </c>
      <c r="P2">
        <v>92</v>
      </c>
      <c r="Q2">
        <v>32</v>
      </c>
      <c r="R2">
        <v>6</v>
      </c>
      <c r="S2">
        <v>13</v>
      </c>
      <c r="T2">
        <v>319</v>
      </c>
      <c r="U2">
        <v>57</v>
      </c>
      <c r="V2">
        <v>0</v>
      </c>
      <c r="W2">
        <v>97</v>
      </c>
    </row>
    <row r="3" spans="1:23" x14ac:dyDescent="0.2">
      <c r="A3" t="s">
        <v>1154</v>
      </c>
      <c r="B3" t="s">
        <v>157</v>
      </c>
      <c r="C3">
        <v>55.919514656066887</v>
      </c>
      <c r="D3">
        <v>82</v>
      </c>
      <c r="E3">
        <v>5112</v>
      </c>
      <c r="F3">
        <v>7</v>
      </c>
      <c r="G3">
        <v>4</v>
      </c>
      <c r="H3">
        <v>9.3333333333333339</v>
      </c>
      <c r="I3">
        <v>1.1463414634146341</v>
      </c>
      <c r="J3">
        <v>3.916666666666667</v>
      </c>
      <c r="K3">
        <v>3.416666666666667</v>
      </c>
      <c r="L3">
        <v>24</v>
      </c>
      <c r="M3">
        <v>24</v>
      </c>
      <c r="N3">
        <v>2</v>
      </c>
      <c r="O3">
        <v>5</v>
      </c>
      <c r="P3">
        <v>328</v>
      </c>
      <c r="Q3">
        <v>96</v>
      </c>
      <c r="R3">
        <v>4</v>
      </c>
      <c r="S3">
        <v>11</v>
      </c>
      <c r="T3">
        <v>680</v>
      </c>
      <c r="U3">
        <v>20</v>
      </c>
      <c r="V3">
        <v>896</v>
      </c>
      <c r="W3">
        <v>376</v>
      </c>
    </row>
    <row r="4" spans="1:23" x14ac:dyDescent="0.2">
      <c r="A4" t="s">
        <v>1155</v>
      </c>
      <c r="B4" t="s">
        <v>157</v>
      </c>
      <c r="C4">
        <v>0.73512673377990723</v>
      </c>
      <c r="D4">
        <v>89</v>
      </c>
      <c r="E4">
        <v>382</v>
      </c>
      <c r="F4">
        <v>7</v>
      </c>
      <c r="G4">
        <v>6</v>
      </c>
      <c r="H4">
        <v>3.125E-2</v>
      </c>
      <c r="I4">
        <v>1</v>
      </c>
      <c r="J4">
        <v>2.84375</v>
      </c>
      <c r="K4">
        <v>2.84375</v>
      </c>
      <c r="L4">
        <v>5.333333333333333</v>
      </c>
      <c r="M4">
        <v>1</v>
      </c>
      <c r="N4">
        <v>1</v>
      </c>
      <c r="O4">
        <v>5</v>
      </c>
      <c r="P4">
        <v>91</v>
      </c>
      <c r="Q4">
        <v>32</v>
      </c>
      <c r="R4">
        <v>6</v>
      </c>
      <c r="S4">
        <v>7</v>
      </c>
      <c r="T4">
        <v>133</v>
      </c>
      <c r="U4">
        <v>26</v>
      </c>
      <c r="V4">
        <v>1</v>
      </c>
      <c r="W4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2"/>
  <sheetViews>
    <sheetView workbookViewId="0">
      <selection activeCell="C1" sqref="C1"/>
    </sheetView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157</v>
      </c>
      <c r="C2">
        <v>50.373937129974372</v>
      </c>
      <c r="D2">
        <v>871</v>
      </c>
      <c r="E2">
        <v>1122</v>
      </c>
      <c r="F2">
        <v>8</v>
      </c>
      <c r="G2">
        <v>8</v>
      </c>
      <c r="H2">
        <v>5.7674418604651159</v>
      </c>
      <c r="I2">
        <v>1</v>
      </c>
      <c r="J2">
        <v>1.953488372093023</v>
      </c>
      <c r="K2">
        <v>1.953488372093023</v>
      </c>
      <c r="L2">
        <v>5.375</v>
      </c>
      <c r="M2">
        <v>17</v>
      </c>
      <c r="N2">
        <v>1</v>
      </c>
      <c r="O2">
        <v>3</v>
      </c>
      <c r="P2">
        <v>84</v>
      </c>
      <c r="Q2">
        <v>43</v>
      </c>
      <c r="R2">
        <v>8</v>
      </c>
      <c r="S2">
        <v>8</v>
      </c>
      <c r="T2">
        <v>260</v>
      </c>
      <c r="U2">
        <v>43</v>
      </c>
      <c r="V2">
        <v>248</v>
      </c>
      <c r="W2">
        <v>84</v>
      </c>
    </row>
    <row r="3" spans="1:23" x14ac:dyDescent="0.2">
      <c r="A3" t="s">
        <v>25</v>
      </c>
      <c r="B3" t="s">
        <v>157</v>
      </c>
      <c r="C3">
        <v>226.5109148025513</v>
      </c>
      <c r="D3">
        <v>3652</v>
      </c>
      <c r="E3">
        <v>1013</v>
      </c>
      <c r="F3">
        <v>34</v>
      </c>
      <c r="G3">
        <v>34</v>
      </c>
      <c r="H3">
        <v>18291.797619047618</v>
      </c>
      <c r="I3">
        <v>1.121472392638037</v>
      </c>
      <c r="J3">
        <v>3.626984126984127</v>
      </c>
      <c r="K3">
        <v>3.2341269841269842</v>
      </c>
      <c r="L3">
        <v>7.4117647058823533</v>
      </c>
      <c r="M3">
        <v>2500000</v>
      </c>
      <c r="N3">
        <v>2</v>
      </c>
      <c r="O3">
        <v>6</v>
      </c>
      <c r="P3">
        <v>815</v>
      </c>
      <c r="Q3">
        <v>252</v>
      </c>
      <c r="R3">
        <v>34</v>
      </c>
      <c r="S3">
        <v>68</v>
      </c>
      <c r="T3">
        <v>16222</v>
      </c>
      <c r="U3">
        <v>2240</v>
      </c>
      <c r="V3">
        <v>4609533</v>
      </c>
      <c r="W3">
        <v>914</v>
      </c>
    </row>
    <row r="4" spans="1:23" x14ac:dyDescent="0.2">
      <c r="A4" t="s">
        <v>26</v>
      </c>
      <c r="B4" t="s">
        <v>157</v>
      </c>
      <c r="C4">
        <v>44.915988683700562</v>
      </c>
      <c r="D4">
        <v>2194</v>
      </c>
      <c r="E4">
        <v>5767</v>
      </c>
      <c r="F4">
        <v>9</v>
      </c>
      <c r="G4">
        <v>9</v>
      </c>
      <c r="H4">
        <v>7.0566037735849054</v>
      </c>
      <c r="I4">
        <v>1</v>
      </c>
      <c r="J4">
        <v>1.5094339622641511</v>
      </c>
      <c r="K4">
        <v>1.5094339622641511</v>
      </c>
      <c r="L4">
        <v>5.8888888888888893</v>
      </c>
      <c r="M4">
        <v>23</v>
      </c>
      <c r="N4">
        <v>1</v>
      </c>
      <c r="O4">
        <v>2</v>
      </c>
      <c r="P4">
        <v>80</v>
      </c>
      <c r="Q4">
        <v>53</v>
      </c>
      <c r="R4">
        <v>9</v>
      </c>
      <c r="S4">
        <v>9</v>
      </c>
      <c r="T4">
        <v>397</v>
      </c>
      <c r="U4">
        <v>65</v>
      </c>
      <c r="V4">
        <v>374</v>
      </c>
      <c r="W4">
        <v>80</v>
      </c>
    </row>
    <row r="5" spans="1:23" x14ac:dyDescent="0.2">
      <c r="A5" t="s">
        <v>27</v>
      </c>
      <c r="B5" t="s">
        <v>157</v>
      </c>
      <c r="C5">
        <v>304.17291402816772</v>
      </c>
      <c r="D5">
        <v>7418</v>
      </c>
      <c r="E5">
        <v>24867</v>
      </c>
      <c r="F5">
        <v>10</v>
      </c>
      <c r="G5">
        <v>10</v>
      </c>
      <c r="H5">
        <v>8</v>
      </c>
      <c r="I5">
        <v>1</v>
      </c>
      <c r="J5">
        <v>1.546875</v>
      </c>
      <c r="K5">
        <v>1.546875</v>
      </c>
      <c r="L5">
        <v>6.4</v>
      </c>
      <c r="M5">
        <v>29</v>
      </c>
      <c r="N5">
        <v>1</v>
      </c>
      <c r="O5">
        <v>2</v>
      </c>
      <c r="P5">
        <v>99</v>
      </c>
      <c r="Q5">
        <v>64</v>
      </c>
      <c r="R5">
        <v>10</v>
      </c>
      <c r="S5">
        <v>10</v>
      </c>
      <c r="T5">
        <v>541</v>
      </c>
      <c r="U5">
        <v>82</v>
      </c>
      <c r="V5">
        <v>512</v>
      </c>
      <c r="W5">
        <v>99</v>
      </c>
    </row>
    <row r="6" spans="1:23" x14ac:dyDescent="0.2">
      <c r="A6" t="s">
        <v>30</v>
      </c>
      <c r="B6" t="s">
        <v>157</v>
      </c>
      <c r="C6">
        <v>6.878300666809082</v>
      </c>
      <c r="D6">
        <v>275</v>
      </c>
      <c r="E6">
        <v>377</v>
      </c>
      <c r="F6">
        <v>8</v>
      </c>
      <c r="G6">
        <v>8</v>
      </c>
      <c r="H6">
        <v>130.31372549019611</v>
      </c>
      <c r="I6">
        <v>1.053191489361702</v>
      </c>
      <c r="J6">
        <v>1.9411764705882351</v>
      </c>
      <c r="K6">
        <v>1.8431372549019609</v>
      </c>
      <c r="L6">
        <v>6.375</v>
      </c>
      <c r="M6">
        <v>1056</v>
      </c>
      <c r="N6">
        <v>2</v>
      </c>
      <c r="O6">
        <v>3</v>
      </c>
      <c r="P6">
        <v>94</v>
      </c>
      <c r="Q6">
        <v>51</v>
      </c>
      <c r="R6">
        <v>8</v>
      </c>
      <c r="S6">
        <v>9</v>
      </c>
      <c r="T6">
        <v>360</v>
      </c>
      <c r="U6">
        <v>54</v>
      </c>
      <c r="V6">
        <v>6646</v>
      </c>
      <c r="W6">
        <v>99</v>
      </c>
    </row>
    <row r="7" spans="1:23" x14ac:dyDescent="0.2">
      <c r="A7" t="s">
        <v>31</v>
      </c>
      <c r="B7" t="s">
        <v>157</v>
      </c>
      <c r="C7">
        <v>1479.125207901001</v>
      </c>
      <c r="D7">
        <v>4433</v>
      </c>
      <c r="E7">
        <v>2254</v>
      </c>
      <c r="F7">
        <v>29</v>
      </c>
      <c r="G7">
        <v>29</v>
      </c>
      <c r="H7">
        <v>52967968880663.719</v>
      </c>
      <c r="I7">
        <v>1.4862385321100919</v>
      </c>
      <c r="J7">
        <v>1.8984375</v>
      </c>
      <c r="K7">
        <v>1.27734375</v>
      </c>
      <c r="L7">
        <v>8.8275862068965516</v>
      </c>
      <c r="M7">
        <v>1E+16</v>
      </c>
      <c r="N7">
        <v>16</v>
      </c>
      <c r="O7">
        <v>3</v>
      </c>
      <c r="P7">
        <v>327</v>
      </c>
      <c r="Q7">
        <v>256</v>
      </c>
      <c r="R7">
        <v>29</v>
      </c>
      <c r="S7">
        <v>47</v>
      </c>
      <c r="T7">
        <v>11546</v>
      </c>
      <c r="U7">
        <v>1250</v>
      </c>
      <c r="V7">
        <v>1.355980003344991E+16</v>
      </c>
      <c r="W7">
        <v>486</v>
      </c>
    </row>
    <row r="8" spans="1:23" x14ac:dyDescent="0.2">
      <c r="A8" t="s">
        <v>33</v>
      </c>
      <c r="B8" t="s">
        <v>157</v>
      </c>
      <c r="C8">
        <v>52.027010202407837</v>
      </c>
      <c r="D8">
        <v>2022</v>
      </c>
      <c r="E8">
        <v>1827</v>
      </c>
      <c r="F8">
        <v>12</v>
      </c>
      <c r="G8">
        <v>12</v>
      </c>
      <c r="H8">
        <v>5695.54347826087</v>
      </c>
      <c r="I8">
        <v>1.203389830508474</v>
      </c>
      <c r="J8">
        <v>1.543478260869565</v>
      </c>
      <c r="K8">
        <v>1.2826086956521741</v>
      </c>
      <c r="L8">
        <v>3.833333333333333</v>
      </c>
      <c r="M8">
        <v>39701</v>
      </c>
      <c r="N8">
        <v>2</v>
      </c>
      <c r="O8">
        <v>3</v>
      </c>
      <c r="P8">
        <v>59</v>
      </c>
      <c r="Q8">
        <v>46</v>
      </c>
      <c r="R8">
        <v>12</v>
      </c>
      <c r="S8">
        <v>24</v>
      </c>
      <c r="T8">
        <v>1033</v>
      </c>
      <c r="U8">
        <v>263</v>
      </c>
      <c r="V8">
        <v>261995</v>
      </c>
      <c r="W8">
        <v>71</v>
      </c>
    </row>
    <row r="9" spans="1:23" x14ac:dyDescent="0.2">
      <c r="A9" t="s">
        <v>35</v>
      </c>
      <c r="B9" t="s">
        <v>157</v>
      </c>
      <c r="C9">
        <v>2.255509614944458</v>
      </c>
      <c r="D9">
        <v>177</v>
      </c>
      <c r="E9">
        <v>99</v>
      </c>
      <c r="F9">
        <v>6</v>
      </c>
      <c r="G9">
        <v>6</v>
      </c>
      <c r="H9">
        <v>5777.3170731707314</v>
      </c>
      <c r="I9">
        <v>1</v>
      </c>
      <c r="J9">
        <v>1.51219512195122</v>
      </c>
      <c r="K9">
        <v>1.51219512195122</v>
      </c>
      <c r="L9">
        <v>13.66666666666667</v>
      </c>
      <c r="M9">
        <v>57031</v>
      </c>
      <c r="N9">
        <v>1</v>
      </c>
      <c r="O9">
        <v>2</v>
      </c>
      <c r="P9">
        <v>124</v>
      </c>
      <c r="Q9">
        <v>82</v>
      </c>
      <c r="R9">
        <v>6</v>
      </c>
      <c r="S9">
        <v>6</v>
      </c>
      <c r="T9">
        <v>368</v>
      </c>
      <c r="U9">
        <v>24</v>
      </c>
      <c r="V9">
        <v>473740</v>
      </c>
      <c r="W9">
        <v>124</v>
      </c>
    </row>
    <row r="10" spans="1:23" x14ac:dyDescent="0.2">
      <c r="A10" t="s">
        <v>36</v>
      </c>
      <c r="B10" t="s">
        <v>157</v>
      </c>
      <c r="C10">
        <v>1.951467752456665</v>
      </c>
      <c r="D10">
        <v>226</v>
      </c>
      <c r="E10">
        <v>138</v>
      </c>
      <c r="F10">
        <v>6</v>
      </c>
      <c r="G10">
        <v>6</v>
      </c>
      <c r="H10">
        <v>34.294117647058833</v>
      </c>
      <c r="I10">
        <v>1.3731343283582089</v>
      </c>
      <c r="J10">
        <v>1.803921568627451</v>
      </c>
      <c r="K10">
        <v>1.313725490196078</v>
      </c>
      <c r="L10">
        <v>8.5</v>
      </c>
      <c r="M10">
        <v>169</v>
      </c>
      <c r="N10">
        <v>2</v>
      </c>
      <c r="O10">
        <v>2</v>
      </c>
      <c r="P10">
        <v>67</v>
      </c>
      <c r="Q10">
        <v>51</v>
      </c>
      <c r="R10">
        <v>6</v>
      </c>
      <c r="S10">
        <v>12</v>
      </c>
      <c r="T10">
        <v>520</v>
      </c>
      <c r="U10">
        <v>60</v>
      </c>
      <c r="V10">
        <v>1749</v>
      </c>
      <c r="W10">
        <v>92</v>
      </c>
    </row>
    <row r="11" spans="1:23" x14ac:dyDescent="0.2">
      <c r="A11" t="s">
        <v>38</v>
      </c>
      <c r="B11" t="s">
        <v>157</v>
      </c>
      <c r="C11">
        <v>138.4456901550293</v>
      </c>
      <c r="D11">
        <v>279</v>
      </c>
      <c r="E11">
        <v>1931</v>
      </c>
      <c r="F11">
        <v>5</v>
      </c>
      <c r="G11">
        <v>5</v>
      </c>
      <c r="H11">
        <v>1.833333333333333</v>
      </c>
      <c r="I11">
        <v>4</v>
      </c>
      <c r="J11">
        <v>3.333333333333333</v>
      </c>
      <c r="K11">
        <v>0.83333333333333337</v>
      </c>
      <c r="L11">
        <v>6</v>
      </c>
      <c r="M11">
        <v>2</v>
      </c>
      <c r="N11">
        <v>6</v>
      </c>
      <c r="O11">
        <v>1</v>
      </c>
      <c r="P11">
        <v>25</v>
      </c>
      <c r="Q11">
        <v>30</v>
      </c>
      <c r="R11">
        <v>5</v>
      </c>
      <c r="S11">
        <v>30</v>
      </c>
      <c r="T11">
        <v>800</v>
      </c>
      <c r="U11">
        <v>130</v>
      </c>
      <c r="V11">
        <v>55</v>
      </c>
      <c r="W11">
        <v>100</v>
      </c>
    </row>
    <row r="12" spans="1:23" x14ac:dyDescent="0.2">
      <c r="A12" t="s">
        <v>44</v>
      </c>
      <c r="B12" t="s">
        <v>157</v>
      </c>
      <c r="C12">
        <v>145.13331270217901</v>
      </c>
      <c r="D12">
        <v>2778</v>
      </c>
      <c r="E12">
        <v>2834</v>
      </c>
      <c r="F12">
        <v>12</v>
      </c>
      <c r="G12">
        <v>12</v>
      </c>
      <c r="H12">
        <v>5695.54347826087</v>
      </c>
      <c r="I12">
        <v>1.1111111111111109</v>
      </c>
      <c r="J12">
        <v>1.7391304347826091</v>
      </c>
      <c r="K12">
        <v>1.5652173913043479</v>
      </c>
      <c r="L12">
        <v>3.833333333333333</v>
      </c>
      <c r="M12">
        <v>39701</v>
      </c>
      <c r="N12">
        <v>2</v>
      </c>
      <c r="O12">
        <v>5</v>
      </c>
      <c r="P12">
        <v>72</v>
      </c>
      <c r="Q12">
        <v>46</v>
      </c>
      <c r="R12">
        <v>12</v>
      </c>
      <c r="S12">
        <v>24</v>
      </c>
      <c r="T12">
        <v>1024</v>
      </c>
      <c r="U12">
        <v>260</v>
      </c>
      <c r="V12">
        <v>261995</v>
      </c>
      <c r="W12">
        <v>80</v>
      </c>
    </row>
    <row r="13" spans="1:23" x14ac:dyDescent="0.2">
      <c r="A13" t="s">
        <v>45</v>
      </c>
      <c r="B13" t="s">
        <v>157</v>
      </c>
      <c r="C13">
        <v>11.250807762146</v>
      </c>
      <c r="D13">
        <v>280</v>
      </c>
      <c r="E13">
        <v>436</v>
      </c>
      <c r="F13">
        <v>7</v>
      </c>
      <c r="G13">
        <v>7</v>
      </c>
      <c r="H13">
        <v>3.2765957446808511</v>
      </c>
      <c r="I13">
        <v>1.128571428571429</v>
      </c>
      <c r="J13">
        <v>1.6808510638297871</v>
      </c>
      <c r="K13">
        <v>1.4893617021276599</v>
      </c>
      <c r="L13">
        <v>6.7142857142857144</v>
      </c>
      <c r="M13">
        <v>25</v>
      </c>
      <c r="N13">
        <v>2</v>
      </c>
      <c r="O13">
        <v>2</v>
      </c>
      <c r="P13">
        <v>70</v>
      </c>
      <c r="Q13">
        <v>47</v>
      </c>
      <c r="R13">
        <v>7</v>
      </c>
      <c r="S13">
        <v>14</v>
      </c>
      <c r="T13">
        <v>579</v>
      </c>
      <c r="U13">
        <v>85</v>
      </c>
      <c r="V13">
        <v>154</v>
      </c>
      <c r="W13">
        <v>79</v>
      </c>
    </row>
    <row r="14" spans="1:23" x14ac:dyDescent="0.2">
      <c r="A14" t="s">
        <v>46</v>
      </c>
      <c r="B14" t="s">
        <v>157</v>
      </c>
      <c r="C14">
        <v>284.03526139259338</v>
      </c>
      <c r="D14">
        <v>6692</v>
      </c>
      <c r="E14">
        <v>6480</v>
      </c>
      <c r="F14">
        <v>10</v>
      </c>
      <c r="G14">
        <v>62</v>
      </c>
      <c r="H14">
        <v>32.133333333333333</v>
      </c>
      <c r="I14">
        <v>1.0718283582089549</v>
      </c>
      <c r="J14">
        <v>2.1277777777777782</v>
      </c>
      <c r="K14">
        <v>1.9851851851851849</v>
      </c>
      <c r="L14">
        <v>8.7096774193548381</v>
      </c>
      <c r="M14">
        <v>841</v>
      </c>
      <c r="N14">
        <v>2</v>
      </c>
      <c r="O14">
        <v>3</v>
      </c>
      <c r="P14">
        <v>1072</v>
      </c>
      <c r="Q14">
        <v>540</v>
      </c>
      <c r="R14">
        <v>62</v>
      </c>
      <c r="S14">
        <v>19</v>
      </c>
      <c r="T14">
        <v>9111</v>
      </c>
      <c r="U14">
        <v>992</v>
      </c>
      <c r="V14">
        <v>17352</v>
      </c>
      <c r="W14">
        <v>1149</v>
      </c>
    </row>
    <row r="15" spans="1:23" x14ac:dyDescent="0.2">
      <c r="A15" t="s">
        <v>47</v>
      </c>
      <c r="B15" t="s">
        <v>157</v>
      </c>
      <c r="C15">
        <v>84.097386598587036</v>
      </c>
      <c r="D15">
        <v>775</v>
      </c>
      <c r="E15">
        <v>9492</v>
      </c>
      <c r="F15">
        <v>6</v>
      </c>
      <c r="G15">
        <v>6</v>
      </c>
      <c r="H15">
        <v>6.1785714285714288</v>
      </c>
      <c r="I15">
        <v>1.166666666666667</v>
      </c>
      <c r="J15">
        <v>2.5</v>
      </c>
      <c r="K15">
        <v>2.1428571428571428</v>
      </c>
      <c r="L15">
        <v>4.666666666666667</v>
      </c>
      <c r="M15">
        <v>32</v>
      </c>
      <c r="N15">
        <v>5</v>
      </c>
      <c r="O15">
        <v>5</v>
      </c>
      <c r="P15">
        <v>60</v>
      </c>
      <c r="Q15">
        <v>28</v>
      </c>
      <c r="R15">
        <v>6</v>
      </c>
      <c r="S15">
        <v>10</v>
      </c>
      <c r="T15">
        <v>210</v>
      </c>
      <c r="U15">
        <v>40</v>
      </c>
      <c r="V15">
        <v>173</v>
      </c>
      <c r="W15">
        <v>70</v>
      </c>
    </row>
    <row r="16" spans="1:23" x14ac:dyDescent="0.2">
      <c r="A16" t="s">
        <v>54</v>
      </c>
      <c r="B16" t="s">
        <v>157</v>
      </c>
      <c r="C16">
        <v>1.7382650375366211</v>
      </c>
      <c r="D16">
        <v>95</v>
      </c>
      <c r="E16">
        <v>80</v>
      </c>
      <c r="F16">
        <v>5</v>
      </c>
      <c r="G16">
        <v>5</v>
      </c>
      <c r="H16">
        <v>6.7853100176612997E+18</v>
      </c>
      <c r="I16">
        <v>1.219512195121951</v>
      </c>
      <c r="J16">
        <v>1.666666666666667</v>
      </c>
      <c r="K16">
        <v>1.3666666666666669</v>
      </c>
      <c r="L16">
        <v>6</v>
      </c>
      <c r="M16">
        <v>2.0337025628949099E+20</v>
      </c>
      <c r="N16">
        <v>2</v>
      </c>
      <c r="O16">
        <v>2</v>
      </c>
      <c r="P16">
        <v>41</v>
      </c>
      <c r="Q16">
        <v>30</v>
      </c>
      <c r="R16">
        <v>5</v>
      </c>
      <c r="S16">
        <v>8</v>
      </c>
      <c r="T16">
        <v>190</v>
      </c>
      <c r="U16">
        <v>27</v>
      </c>
      <c r="V16">
        <v>2.0355930052983901E+20</v>
      </c>
      <c r="W16">
        <v>50</v>
      </c>
    </row>
    <row r="17" spans="1:23" x14ac:dyDescent="0.2">
      <c r="A17" t="s">
        <v>56</v>
      </c>
      <c r="B17" t="s">
        <v>157</v>
      </c>
      <c r="C17">
        <v>342.53411221504211</v>
      </c>
      <c r="D17">
        <v>3517</v>
      </c>
      <c r="E17">
        <v>3570</v>
      </c>
      <c r="F17">
        <v>10</v>
      </c>
      <c r="G17">
        <v>10</v>
      </c>
      <c r="H17">
        <v>34969370.466666669</v>
      </c>
      <c r="I17">
        <v>0.9555555555555556</v>
      </c>
      <c r="J17">
        <v>1.4333333333333329</v>
      </c>
      <c r="K17">
        <v>1.5</v>
      </c>
      <c r="L17">
        <v>3</v>
      </c>
      <c r="M17">
        <v>100000000</v>
      </c>
      <c r="N17">
        <v>1</v>
      </c>
      <c r="O17">
        <v>4</v>
      </c>
      <c r="P17">
        <v>45</v>
      </c>
      <c r="Q17">
        <v>30</v>
      </c>
      <c r="R17">
        <v>10</v>
      </c>
      <c r="S17">
        <v>10</v>
      </c>
      <c r="T17">
        <v>257</v>
      </c>
      <c r="U17">
        <v>68</v>
      </c>
      <c r="V17">
        <v>1049081114</v>
      </c>
      <c r="W17">
        <v>43</v>
      </c>
    </row>
    <row r="18" spans="1:23" x14ac:dyDescent="0.2">
      <c r="A18" t="s">
        <v>57</v>
      </c>
      <c r="B18" t="s">
        <v>157</v>
      </c>
      <c r="C18">
        <v>1.723716020584106</v>
      </c>
      <c r="D18">
        <v>62</v>
      </c>
      <c r="E18">
        <v>264</v>
      </c>
      <c r="F18">
        <v>5</v>
      </c>
      <c r="G18">
        <v>4</v>
      </c>
      <c r="H18">
        <v>21.47058823529412</v>
      </c>
      <c r="I18">
        <v>1.48</v>
      </c>
      <c r="J18">
        <v>2.1764705882352939</v>
      </c>
      <c r="K18">
        <v>1.470588235294118</v>
      </c>
      <c r="L18">
        <v>4.25</v>
      </c>
      <c r="M18">
        <v>125</v>
      </c>
      <c r="N18">
        <v>3</v>
      </c>
      <c r="O18">
        <v>3</v>
      </c>
      <c r="P18">
        <v>25</v>
      </c>
      <c r="Q18">
        <v>17</v>
      </c>
      <c r="R18">
        <v>4</v>
      </c>
      <c r="S18">
        <v>11</v>
      </c>
      <c r="T18">
        <v>150</v>
      </c>
      <c r="U18">
        <v>31</v>
      </c>
      <c r="V18">
        <v>365</v>
      </c>
      <c r="W18">
        <v>37</v>
      </c>
    </row>
    <row r="19" spans="1:23" x14ac:dyDescent="0.2">
      <c r="A19" t="s">
        <v>61</v>
      </c>
      <c r="B19" t="s">
        <v>157</v>
      </c>
      <c r="C19">
        <v>1297.036682844162</v>
      </c>
      <c r="D19">
        <v>25307</v>
      </c>
      <c r="E19">
        <v>104803</v>
      </c>
      <c r="F19">
        <v>11</v>
      </c>
      <c r="G19">
        <v>11</v>
      </c>
      <c r="H19">
        <v>10.736842105263159</v>
      </c>
      <c r="I19">
        <v>0.99236641221374045</v>
      </c>
      <c r="J19">
        <v>1.7105263157894739</v>
      </c>
      <c r="K19">
        <v>1.7236842105263159</v>
      </c>
      <c r="L19">
        <v>6.9090909090909092</v>
      </c>
      <c r="M19">
        <v>31</v>
      </c>
      <c r="N19">
        <v>1</v>
      </c>
      <c r="O19">
        <v>3</v>
      </c>
      <c r="P19">
        <v>131</v>
      </c>
      <c r="Q19">
        <v>76</v>
      </c>
      <c r="R19">
        <v>11</v>
      </c>
      <c r="S19">
        <v>11</v>
      </c>
      <c r="T19">
        <v>706</v>
      </c>
      <c r="U19">
        <v>91</v>
      </c>
      <c r="V19">
        <v>816</v>
      </c>
      <c r="W19">
        <v>130</v>
      </c>
    </row>
    <row r="20" spans="1:23" x14ac:dyDescent="0.2">
      <c r="A20" t="s">
        <v>63</v>
      </c>
      <c r="B20" t="s">
        <v>157</v>
      </c>
      <c r="C20">
        <v>448.23497700691217</v>
      </c>
      <c r="D20">
        <v>747</v>
      </c>
      <c r="E20">
        <v>2957</v>
      </c>
      <c r="F20">
        <v>7</v>
      </c>
      <c r="G20">
        <v>6</v>
      </c>
      <c r="H20">
        <v>239.9259259259259</v>
      </c>
      <c r="I20">
        <v>1.305555555555556</v>
      </c>
      <c r="J20">
        <v>1.7407407407407409</v>
      </c>
      <c r="K20">
        <v>1.333333333333333</v>
      </c>
      <c r="L20">
        <v>4.5</v>
      </c>
      <c r="M20">
        <v>4913</v>
      </c>
      <c r="N20">
        <v>3</v>
      </c>
      <c r="O20">
        <v>2</v>
      </c>
      <c r="P20">
        <v>36</v>
      </c>
      <c r="Q20">
        <v>27</v>
      </c>
      <c r="R20">
        <v>6</v>
      </c>
      <c r="S20">
        <v>15</v>
      </c>
      <c r="T20">
        <v>358</v>
      </c>
      <c r="U20">
        <v>69</v>
      </c>
      <c r="V20">
        <v>6478</v>
      </c>
      <c r="W20">
        <v>47</v>
      </c>
    </row>
    <row r="21" spans="1:23" x14ac:dyDescent="0.2">
      <c r="A21" t="s">
        <v>65</v>
      </c>
      <c r="B21" t="s">
        <v>157</v>
      </c>
      <c r="C21">
        <v>1.125511646270752</v>
      </c>
      <c r="D21">
        <v>94</v>
      </c>
      <c r="E21">
        <v>53</v>
      </c>
      <c r="F21">
        <v>6</v>
      </c>
      <c r="G21">
        <v>6</v>
      </c>
      <c r="H21">
        <v>4.5374999999999996</v>
      </c>
      <c r="I21">
        <v>1.1953125</v>
      </c>
      <c r="J21">
        <v>1.9125000000000001</v>
      </c>
      <c r="K21">
        <v>1.6</v>
      </c>
      <c r="L21">
        <v>13.33333333333333</v>
      </c>
      <c r="M21">
        <v>12</v>
      </c>
      <c r="N21">
        <v>2</v>
      </c>
      <c r="O21">
        <v>2</v>
      </c>
      <c r="P21">
        <v>128</v>
      </c>
      <c r="Q21">
        <v>80</v>
      </c>
      <c r="R21">
        <v>6</v>
      </c>
      <c r="S21">
        <v>7</v>
      </c>
      <c r="T21">
        <v>407</v>
      </c>
      <c r="U21">
        <v>26</v>
      </c>
      <c r="V21">
        <v>363</v>
      </c>
      <c r="W21">
        <v>153</v>
      </c>
    </row>
    <row r="22" spans="1:23" x14ac:dyDescent="0.2">
      <c r="A22" t="s">
        <v>67</v>
      </c>
      <c r="B22" t="s">
        <v>157</v>
      </c>
      <c r="C22">
        <v>2.1572873592376709</v>
      </c>
      <c r="D22">
        <v>318</v>
      </c>
      <c r="E22">
        <v>634</v>
      </c>
      <c r="F22">
        <v>10</v>
      </c>
      <c r="G22">
        <v>9</v>
      </c>
      <c r="H22">
        <v>4.1891891891891886</v>
      </c>
      <c r="I22">
        <v>1</v>
      </c>
      <c r="J22">
        <v>1.486486486486486</v>
      </c>
      <c r="K22">
        <v>1.486486486486486</v>
      </c>
      <c r="L22">
        <v>8.2222222222222214</v>
      </c>
      <c r="M22">
        <v>29</v>
      </c>
      <c r="N22">
        <v>1</v>
      </c>
      <c r="O22">
        <v>2</v>
      </c>
      <c r="P22">
        <v>110</v>
      </c>
      <c r="Q22">
        <v>74</v>
      </c>
      <c r="R22">
        <v>9</v>
      </c>
      <c r="S22">
        <v>10</v>
      </c>
      <c r="T22">
        <v>630</v>
      </c>
      <c r="U22">
        <v>74</v>
      </c>
      <c r="V22">
        <v>310</v>
      </c>
      <c r="W22">
        <v>110</v>
      </c>
    </row>
    <row r="23" spans="1:23" x14ac:dyDescent="0.2">
      <c r="A23" t="s">
        <v>69</v>
      </c>
      <c r="B23" t="s">
        <v>157</v>
      </c>
      <c r="C23">
        <v>8.5684263706207275</v>
      </c>
      <c r="D23">
        <v>501</v>
      </c>
      <c r="E23">
        <v>364</v>
      </c>
      <c r="F23">
        <v>10</v>
      </c>
      <c r="G23">
        <v>10</v>
      </c>
      <c r="H23">
        <v>68.474999999999994</v>
      </c>
      <c r="I23">
        <v>1</v>
      </c>
      <c r="J23">
        <v>1.55</v>
      </c>
      <c r="K23">
        <v>1.55</v>
      </c>
      <c r="L23">
        <v>4</v>
      </c>
      <c r="M23">
        <v>595</v>
      </c>
      <c r="N23">
        <v>1</v>
      </c>
      <c r="O23">
        <v>2</v>
      </c>
      <c r="P23">
        <v>62</v>
      </c>
      <c r="Q23">
        <v>40</v>
      </c>
      <c r="R23">
        <v>10</v>
      </c>
      <c r="S23">
        <v>10</v>
      </c>
      <c r="T23">
        <v>338</v>
      </c>
      <c r="U23">
        <v>82</v>
      </c>
      <c r="V23">
        <v>2739</v>
      </c>
      <c r="W23">
        <v>62</v>
      </c>
    </row>
    <row r="24" spans="1:23" x14ac:dyDescent="0.2">
      <c r="A24" t="s">
        <v>70</v>
      </c>
      <c r="B24" t="s">
        <v>157</v>
      </c>
      <c r="C24">
        <v>366.71126961708069</v>
      </c>
      <c r="D24">
        <v>3576</v>
      </c>
      <c r="E24">
        <v>3713</v>
      </c>
      <c r="F24">
        <v>12</v>
      </c>
      <c r="G24">
        <v>10</v>
      </c>
      <c r="H24">
        <v>34969370.466666669</v>
      </c>
      <c r="I24">
        <v>0.9555555555555556</v>
      </c>
      <c r="J24">
        <v>1.4333333333333329</v>
      </c>
      <c r="K24">
        <v>1.5</v>
      </c>
      <c r="L24">
        <v>3</v>
      </c>
      <c r="M24">
        <v>100000000</v>
      </c>
      <c r="N24">
        <v>1</v>
      </c>
      <c r="O24">
        <v>4</v>
      </c>
      <c r="P24">
        <v>45</v>
      </c>
      <c r="Q24">
        <v>30</v>
      </c>
      <c r="R24">
        <v>10</v>
      </c>
      <c r="S24">
        <v>10</v>
      </c>
      <c r="T24">
        <v>257</v>
      </c>
      <c r="U24">
        <v>68</v>
      </c>
      <c r="V24">
        <v>1049081114</v>
      </c>
      <c r="W24">
        <v>43</v>
      </c>
    </row>
    <row r="25" spans="1:23" x14ac:dyDescent="0.2">
      <c r="A25" t="s">
        <v>78</v>
      </c>
      <c r="B25" t="s">
        <v>157</v>
      </c>
      <c r="C25">
        <v>6.0026090145111084</v>
      </c>
      <c r="D25">
        <v>286</v>
      </c>
      <c r="E25">
        <v>251</v>
      </c>
      <c r="F25">
        <v>7</v>
      </c>
      <c r="G25">
        <v>7</v>
      </c>
      <c r="H25">
        <v>4.882352941176471</v>
      </c>
      <c r="I25">
        <v>1</v>
      </c>
      <c r="J25">
        <v>1.8529411764705881</v>
      </c>
      <c r="K25">
        <v>1.8529411764705881</v>
      </c>
      <c r="L25">
        <v>4.8571428571428568</v>
      </c>
      <c r="M25">
        <v>13</v>
      </c>
      <c r="N25">
        <v>1</v>
      </c>
      <c r="O25">
        <v>3</v>
      </c>
      <c r="P25">
        <v>63</v>
      </c>
      <c r="Q25">
        <v>34</v>
      </c>
      <c r="R25">
        <v>7</v>
      </c>
      <c r="S25">
        <v>7</v>
      </c>
      <c r="T25">
        <v>175</v>
      </c>
      <c r="U25">
        <v>31</v>
      </c>
      <c r="V25">
        <v>166</v>
      </c>
      <c r="W25">
        <v>63</v>
      </c>
    </row>
    <row r="26" spans="1:23" x14ac:dyDescent="0.2">
      <c r="A26" t="s">
        <v>80</v>
      </c>
      <c r="B26" t="s">
        <v>157</v>
      </c>
      <c r="C26">
        <v>5.0957410335540771</v>
      </c>
      <c r="D26">
        <v>196</v>
      </c>
      <c r="E26">
        <v>383</v>
      </c>
      <c r="F26">
        <v>7</v>
      </c>
      <c r="G26">
        <v>7</v>
      </c>
      <c r="H26">
        <v>8.4</v>
      </c>
      <c r="I26">
        <v>1.653846153846154</v>
      </c>
      <c r="J26">
        <v>2.3454545454545448</v>
      </c>
      <c r="K26">
        <v>1.418181818181818</v>
      </c>
      <c r="L26">
        <v>7.8571428571428568</v>
      </c>
      <c r="M26">
        <v>36</v>
      </c>
      <c r="N26">
        <v>4</v>
      </c>
      <c r="O26">
        <v>4</v>
      </c>
      <c r="P26">
        <v>78</v>
      </c>
      <c r="Q26">
        <v>55</v>
      </c>
      <c r="R26">
        <v>7</v>
      </c>
      <c r="S26">
        <v>14</v>
      </c>
      <c r="T26">
        <v>641</v>
      </c>
      <c r="U26">
        <v>74</v>
      </c>
      <c r="V26">
        <v>462</v>
      </c>
      <c r="W26">
        <v>129</v>
      </c>
    </row>
    <row r="27" spans="1:23" x14ac:dyDescent="0.2">
      <c r="A27" t="s">
        <v>84</v>
      </c>
      <c r="B27" t="s">
        <v>157</v>
      </c>
      <c r="C27">
        <v>7.2175328731536874</v>
      </c>
      <c r="D27">
        <v>0</v>
      </c>
      <c r="E27">
        <v>441</v>
      </c>
      <c r="F27">
        <v>4</v>
      </c>
      <c r="G27">
        <v>4</v>
      </c>
      <c r="H27">
        <v>141412.17307692309</v>
      </c>
      <c r="I27">
        <v>1.576271186440678</v>
      </c>
      <c r="J27">
        <v>3.5769230769230771</v>
      </c>
      <c r="K27">
        <v>2.2692307692307692</v>
      </c>
      <c r="L27">
        <v>13</v>
      </c>
      <c r="M27">
        <v>2985984</v>
      </c>
      <c r="N27">
        <v>3</v>
      </c>
      <c r="O27">
        <v>3</v>
      </c>
      <c r="P27">
        <v>118</v>
      </c>
      <c r="Q27">
        <v>52</v>
      </c>
      <c r="R27">
        <v>4</v>
      </c>
      <c r="S27">
        <v>12</v>
      </c>
      <c r="T27">
        <v>438</v>
      </c>
      <c r="U27">
        <v>26</v>
      </c>
      <c r="V27">
        <v>7353433</v>
      </c>
      <c r="W27">
        <v>186</v>
      </c>
    </row>
    <row r="28" spans="1:23" x14ac:dyDescent="0.2">
      <c r="A28" t="s">
        <v>85</v>
      </c>
      <c r="B28" t="s">
        <v>157</v>
      </c>
      <c r="C28">
        <v>227.53408026695249</v>
      </c>
      <c r="D28">
        <v>6324</v>
      </c>
      <c r="E28">
        <v>17361</v>
      </c>
      <c r="F28">
        <v>9</v>
      </c>
      <c r="G28">
        <v>9</v>
      </c>
      <c r="H28">
        <v>157763.8095238095</v>
      </c>
      <c r="I28">
        <v>1.4683544303797471</v>
      </c>
      <c r="J28">
        <v>2.7619047619047619</v>
      </c>
      <c r="K28">
        <v>1.8809523809523809</v>
      </c>
      <c r="L28">
        <v>4.666666666666667</v>
      </c>
      <c r="M28">
        <v>1000000</v>
      </c>
      <c r="N28">
        <v>2</v>
      </c>
      <c r="O28">
        <v>5</v>
      </c>
      <c r="P28">
        <v>79</v>
      </c>
      <c r="Q28">
        <v>42</v>
      </c>
      <c r="R28">
        <v>9</v>
      </c>
      <c r="S28">
        <v>18</v>
      </c>
      <c r="T28">
        <v>640</v>
      </c>
      <c r="U28">
        <v>133</v>
      </c>
      <c r="V28">
        <v>6626080</v>
      </c>
      <c r="W28">
        <v>116</v>
      </c>
    </row>
    <row r="29" spans="1:23" x14ac:dyDescent="0.2">
      <c r="A29" t="s">
        <v>86</v>
      </c>
      <c r="B29" t="s">
        <v>157</v>
      </c>
      <c r="C29">
        <v>10.107896089553829</v>
      </c>
      <c r="D29">
        <v>558</v>
      </c>
      <c r="E29">
        <v>336</v>
      </c>
      <c r="F29">
        <v>10</v>
      </c>
      <c r="G29">
        <v>10</v>
      </c>
      <c r="H29">
        <v>152.67500000000001</v>
      </c>
      <c r="I29">
        <v>1</v>
      </c>
      <c r="J29">
        <v>1.55</v>
      </c>
      <c r="K29">
        <v>1.55</v>
      </c>
      <c r="L29">
        <v>4</v>
      </c>
      <c r="M29">
        <v>855</v>
      </c>
      <c r="N29">
        <v>1</v>
      </c>
      <c r="O29">
        <v>2</v>
      </c>
      <c r="P29">
        <v>62</v>
      </c>
      <c r="Q29">
        <v>40</v>
      </c>
      <c r="R29">
        <v>10</v>
      </c>
      <c r="S29">
        <v>10</v>
      </c>
      <c r="T29">
        <v>338</v>
      </c>
      <c r="U29">
        <v>82</v>
      </c>
      <c r="V29">
        <v>6107</v>
      </c>
      <c r="W29">
        <v>62</v>
      </c>
    </row>
    <row r="30" spans="1:23" x14ac:dyDescent="0.2">
      <c r="A30" t="s">
        <v>91</v>
      </c>
      <c r="B30" t="s">
        <v>157</v>
      </c>
      <c r="C30">
        <v>98.905332088470459</v>
      </c>
      <c r="D30">
        <v>719</v>
      </c>
      <c r="E30">
        <v>1756</v>
      </c>
      <c r="F30">
        <v>8</v>
      </c>
      <c r="G30">
        <v>8</v>
      </c>
      <c r="H30">
        <v>4.0333333333333332</v>
      </c>
      <c r="I30">
        <v>1.119565217391304</v>
      </c>
      <c r="J30">
        <v>1.716666666666667</v>
      </c>
      <c r="K30">
        <v>1.533333333333333</v>
      </c>
      <c r="L30">
        <v>7.5</v>
      </c>
      <c r="M30">
        <v>49</v>
      </c>
      <c r="N30">
        <v>2</v>
      </c>
      <c r="O30">
        <v>2</v>
      </c>
      <c r="P30">
        <v>92</v>
      </c>
      <c r="Q30">
        <v>60</v>
      </c>
      <c r="R30">
        <v>8</v>
      </c>
      <c r="S30">
        <v>16</v>
      </c>
      <c r="T30">
        <v>857</v>
      </c>
      <c r="U30">
        <v>113</v>
      </c>
      <c r="V30">
        <v>242</v>
      </c>
      <c r="W30">
        <v>103</v>
      </c>
    </row>
    <row r="31" spans="1:23" x14ac:dyDescent="0.2">
      <c r="A31" t="s">
        <v>93</v>
      </c>
      <c r="B31" t="s">
        <v>157</v>
      </c>
      <c r="C31">
        <v>279.04621982574457</v>
      </c>
      <c r="D31">
        <v>1906</v>
      </c>
      <c r="E31">
        <v>18068</v>
      </c>
      <c r="F31">
        <v>13</v>
      </c>
      <c r="G31">
        <v>12</v>
      </c>
      <c r="H31">
        <v>113.1836734693878</v>
      </c>
      <c r="I31">
        <v>1.104166666666667</v>
      </c>
      <c r="J31">
        <v>2.1632653061224492</v>
      </c>
      <c r="K31">
        <v>1.9591836734693879</v>
      </c>
      <c r="L31">
        <v>8.1666666666666661</v>
      </c>
      <c r="M31">
        <v>1681</v>
      </c>
      <c r="N31">
        <v>3</v>
      </c>
      <c r="O31">
        <v>3</v>
      </c>
      <c r="P31">
        <v>192</v>
      </c>
      <c r="Q31">
        <v>98</v>
      </c>
      <c r="R31">
        <v>12</v>
      </c>
      <c r="S31">
        <v>15</v>
      </c>
      <c r="T31">
        <v>1258</v>
      </c>
      <c r="U31">
        <v>156</v>
      </c>
      <c r="V31">
        <v>11092</v>
      </c>
      <c r="W31">
        <v>212</v>
      </c>
    </row>
    <row r="32" spans="1:23" x14ac:dyDescent="0.2">
      <c r="A32" t="s">
        <v>94</v>
      </c>
      <c r="B32" t="s">
        <v>157</v>
      </c>
      <c r="C32">
        <v>19.099498271942139</v>
      </c>
      <c r="D32">
        <v>419</v>
      </c>
      <c r="E32">
        <v>1984</v>
      </c>
      <c r="F32">
        <v>7</v>
      </c>
      <c r="G32">
        <v>6</v>
      </c>
      <c r="H32">
        <v>3.5</v>
      </c>
      <c r="I32">
        <v>1.061728395061728</v>
      </c>
      <c r="J32">
        <v>2.6875</v>
      </c>
      <c r="K32">
        <v>2.53125</v>
      </c>
      <c r="L32">
        <v>5.333333333333333</v>
      </c>
      <c r="M32">
        <v>11</v>
      </c>
      <c r="N32">
        <v>6</v>
      </c>
      <c r="O32">
        <v>6</v>
      </c>
      <c r="P32">
        <v>81</v>
      </c>
      <c r="Q32">
        <v>32</v>
      </c>
      <c r="R32">
        <v>6</v>
      </c>
      <c r="S32">
        <v>11</v>
      </c>
      <c r="T32">
        <v>266</v>
      </c>
      <c r="U32">
        <v>40</v>
      </c>
      <c r="V32">
        <v>112</v>
      </c>
      <c r="W32">
        <v>86</v>
      </c>
    </row>
    <row r="33" spans="1:23" x14ac:dyDescent="0.2">
      <c r="A33" t="s">
        <v>95</v>
      </c>
      <c r="B33" t="s">
        <v>157</v>
      </c>
      <c r="C33">
        <v>65.092250108718872</v>
      </c>
      <c r="D33">
        <v>348</v>
      </c>
      <c r="E33">
        <v>2579</v>
      </c>
      <c r="F33">
        <v>5</v>
      </c>
      <c r="G33">
        <v>5</v>
      </c>
      <c r="H33">
        <v>73.113043478260863</v>
      </c>
      <c r="I33">
        <v>1.657142857142857</v>
      </c>
      <c r="J33">
        <v>2.5217391304347831</v>
      </c>
      <c r="K33">
        <v>1.5217391304347829</v>
      </c>
      <c r="L33">
        <v>23</v>
      </c>
      <c r="M33">
        <v>1331</v>
      </c>
      <c r="N33">
        <v>3</v>
      </c>
      <c r="O33">
        <v>2</v>
      </c>
      <c r="P33">
        <v>175</v>
      </c>
      <c r="Q33">
        <v>115</v>
      </c>
      <c r="R33">
        <v>5</v>
      </c>
      <c r="S33">
        <v>15</v>
      </c>
      <c r="T33">
        <v>1435</v>
      </c>
      <c r="U33">
        <v>60</v>
      </c>
      <c r="V33">
        <v>8408</v>
      </c>
      <c r="W33">
        <v>290</v>
      </c>
    </row>
    <row r="34" spans="1:23" x14ac:dyDescent="0.2">
      <c r="A34" t="s">
        <v>100</v>
      </c>
      <c r="B34" t="s">
        <v>157</v>
      </c>
      <c r="C34">
        <v>120.90241456031799</v>
      </c>
      <c r="D34">
        <v>2758</v>
      </c>
      <c r="E34">
        <v>2742</v>
      </c>
      <c r="F34">
        <v>12</v>
      </c>
      <c r="G34">
        <v>12</v>
      </c>
      <c r="H34">
        <v>5695.54347826087</v>
      </c>
      <c r="I34">
        <v>1.1111111111111109</v>
      </c>
      <c r="J34">
        <v>1.7391304347826091</v>
      </c>
      <c r="K34">
        <v>1.5652173913043479</v>
      </c>
      <c r="L34">
        <v>3.833333333333333</v>
      </c>
      <c r="M34">
        <v>39701</v>
      </c>
      <c r="N34">
        <v>2</v>
      </c>
      <c r="O34">
        <v>5</v>
      </c>
      <c r="P34">
        <v>72</v>
      </c>
      <c r="Q34">
        <v>46</v>
      </c>
      <c r="R34">
        <v>12</v>
      </c>
      <c r="S34">
        <v>24</v>
      </c>
      <c r="T34">
        <v>1024</v>
      </c>
      <c r="U34">
        <v>260</v>
      </c>
      <c r="V34">
        <v>261995</v>
      </c>
      <c r="W34">
        <v>80</v>
      </c>
    </row>
    <row r="35" spans="1:23" x14ac:dyDescent="0.2">
      <c r="A35" t="s">
        <v>104</v>
      </c>
      <c r="B35" t="s">
        <v>157</v>
      </c>
      <c r="C35">
        <v>220.10635805129999</v>
      </c>
      <c r="D35">
        <v>1462</v>
      </c>
      <c r="E35">
        <v>7301</v>
      </c>
      <c r="F35">
        <v>8</v>
      </c>
      <c r="G35">
        <v>6</v>
      </c>
      <c r="H35">
        <v>66.577464788732399</v>
      </c>
      <c r="I35">
        <v>1.249169435215947</v>
      </c>
      <c r="J35">
        <v>2.647887323943662</v>
      </c>
      <c r="K35">
        <v>2.119718309859155</v>
      </c>
      <c r="L35">
        <v>23.666666666666671</v>
      </c>
      <c r="M35">
        <v>443</v>
      </c>
      <c r="N35">
        <v>2</v>
      </c>
      <c r="O35">
        <v>3</v>
      </c>
      <c r="P35">
        <v>301</v>
      </c>
      <c r="Q35">
        <v>142</v>
      </c>
      <c r="R35">
        <v>6</v>
      </c>
      <c r="S35">
        <v>14</v>
      </c>
      <c r="T35">
        <v>1612</v>
      </c>
      <c r="U35">
        <v>67</v>
      </c>
      <c r="V35">
        <v>9454</v>
      </c>
      <c r="W35">
        <v>376</v>
      </c>
    </row>
    <row r="36" spans="1:23" x14ac:dyDescent="0.2">
      <c r="A36" t="s">
        <v>105</v>
      </c>
      <c r="B36" t="s">
        <v>157</v>
      </c>
      <c r="C36">
        <v>13.914680480957029</v>
      </c>
      <c r="D36">
        <v>304</v>
      </c>
      <c r="E36">
        <v>2061</v>
      </c>
      <c r="F36">
        <v>5</v>
      </c>
      <c r="G36">
        <v>5</v>
      </c>
      <c r="H36">
        <v>10.16666666666667</v>
      </c>
      <c r="I36">
        <v>1.444444444444444</v>
      </c>
      <c r="J36">
        <v>2.166666666666667</v>
      </c>
      <c r="K36">
        <v>1.5</v>
      </c>
      <c r="L36">
        <v>6</v>
      </c>
      <c r="M36">
        <v>11</v>
      </c>
      <c r="N36">
        <v>2</v>
      </c>
      <c r="O36">
        <v>2</v>
      </c>
      <c r="P36">
        <v>45</v>
      </c>
      <c r="Q36">
        <v>30</v>
      </c>
      <c r="R36">
        <v>5</v>
      </c>
      <c r="S36">
        <v>10</v>
      </c>
      <c r="T36">
        <v>235</v>
      </c>
      <c r="U36">
        <v>35</v>
      </c>
      <c r="V36">
        <v>305</v>
      </c>
      <c r="W36">
        <v>65</v>
      </c>
    </row>
    <row r="37" spans="1:23" x14ac:dyDescent="0.2">
      <c r="A37" t="s">
        <v>106</v>
      </c>
      <c r="B37" t="s">
        <v>157</v>
      </c>
      <c r="C37">
        <v>13.73884296417236</v>
      </c>
      <c r="D37">
        <v>273</v>
      </c>
      <c r="E37">
        <v>4119</v>
      </c>
      <c r="F37">
        <v>7</v>
      </c>
      <c r="G37">
        <v>6</v>
      </c>
      <c r="H37">
        <v>754302.875</v>
      </c>
      <c r="I37">
        <v>1.0515463917525769</v>
      </c>
      <c r="J37">
        <v>3.1875</v>
      </c>
      <c r="K37">
        <v>3.03125</v>
      </c>
      <c r="L37">
        <v>5.333333333333333</v>
      </c>
      <c r="M37">
        <v>24137569</v>
      </c>
      <c r="N37">
        <v>6</v>
      </c>
      <c r="O37">
        <v>6</v>
      </c>
      <c r="P37">
        <v>97</v>
      </c>
      <c r="Q37">
        <v>32</v>
      </c>
      <c r="R37">
        <v>6</v>
      </c>
      <c r="S37">
        <v>12</v>
      </c>
      <c r="T37">
        <v>282</v>
      </c>
      <c r="U37">
        <v>51</v>
      </c>
      <c r="V37">
        <v>24137692</v>
      </c>
      <c r="W37">
        <v>102</v>
      </c>
    </row>
    <row r="38" spans="1:23" x14ac:dyDescent="0.2">
      <c r="A38" t="s">
        <v>108</v>
      </c>
      <c r="B38" t="s">
        <v>157</v>
      </c>
      <c r="C38">
        <v>452.04338479042048</v>
      </c>
      <c r="D38">
        <v>1931</v>
      </c>
      <c r="E38">
        <v>3535</v>
      </c>
      <c r="F38">
        <v>8</v>
      </c>
      <c r="G38">
        <v>8</v>
      </c>
      <c r="H38">
        <v>792.98058252427188</v>
      </c>
      <c r="I38">
        <v>1.041450777202072</v>
      </c>
      <c r="J38">
        <v>1.9514563106796119</v>
      </c>
      <c r="K38">
        <v>1.8737864077669899</v>
      </c>
      <c r="L38">
        <v>12.875</v>
      </c>
      <c r="M38">
        <v>9899</v>
      </c>
      <c r="N38">
        <v>2</v>
      </c>
      <c r="O38">
        <v>3</v>
      </c>
      <c r="P38">
        <v>193</v>
      </c>
      <c r="Q38">
        <v>103</v>
      </c>
      <c r="R38">
        <v>8</v>
      </c>
      <c r="S38">
        <v>16</v>
      </c>
      <c r="T38">
        <v>1447</v>
      </c>
      <c r="U38">
        <v>109</v>
      </c>
      <c r="V38">
        <v>81677</v>
      </c>
      <c r="W38">
        <v>201</v>
      </c>
    </row>
    <row r="39" spans="1:23" x14ac:dyDescent="0.2">
      <c r="A39" t="s">
        <v>109</v>
      </c>
      <c r="B39" t="s">
        <v>157</v>
      </c>
      <c r="C39">
        <v>617.93695616722107</v>
      </c>
      <c r="D39">
        <v>82</v>
      </c>
      <c r="E39">
        <v>7461</v>
      </c>
      <c r="F39">
        <v>4</v>
      </c>
      <c r="G39">
        <v>4</v>
      </c>
      <c r="H39">
        <v>112100.1891891892</v>
      </c>
      <c r="I39">
        <v>1.6481481481481479</v>
      </c>
      <c r="J39">
        <v>3.6081081081081079</v>
      </c>
      <c r="K39">
        <v>2.189189189189189</v>
      </c>
      <c r="L39">
        <v>18.5</v>
      </c>
      <c r="M39">
        <v>2985984</v>
      </c>
      <c r="N39">
        <v>3</v>
      </c>
      <c r="O39">
        <v>3</v>
      </c>
      <c r="P39">
        <v>162</v>
      </c>
      <c r="Q39">
        <v>74</v>
      </c>
      <c r="R39">
        <v>4</v>
      </c>
      <c r="S39">
        <v>12</v>
      </c>
      <c r="T39">
        <v>621</v>
      </c>
      <c r="U39">
        <v>26</v>
      </c>
      <c r="V39">
        <v>8295414</v>
      </c>
      <c r="W39">
        <v>267</v>
      </c>
    </row>
    <row r="40" spans="1:23" x14ac:dyDescent="0.2">
      <c r="A40" t="s">
        <v>110</v>
      </c>
      <c r="B40" t="s">
        <v>157</v>
      </c>
      <c r="C40">
        <v>355.92883110046392</v>
      </c>
      <c r="D40">
        <v>2369</v>
      </c>
      <c r="E40">
        <v>3867</v>
      </c>
      <c r="F40">
        <v>9</v>
      </c>
      <c r="G40">
        <v>9</v>
      </c>
      <c r="H40">
        <v>6.6415094339622636</v>
      </c>
      <c r="I40">
        <v>1</v>
      </c>
      <c r="J40">
        <v>2.0377358490566042</v>
      </c>
      <c r="K40">
        <v>2.0377358490566042</v>
      </c>
      <c r="L40">
        <v>5.8888888888888893</v>
      </c>
      <c r="M40">
        <v>19</v>
      </c>
      <c r="N40">
        <v>1</v>
      </c>
      <c r="O40">
        <v>3</v>
      </c>
      <c r="P40">
        <v>108</v>
      </c>
      <c r="Q40">
        <v>53</v>
      </c>
      <c r="R40">
        <v>9</v>
      </c>
      <c r="S40">
        <v>9</v>
      </c>
      <c r="T40">
        <v>369</v>
      </c>
      <c r="U40">
        <v>57</v>
      </c>
      <c r="V40">
        <v>352</v>
      </c>
      <c r="W40">
        <v>108</v>
      </c>
    </row>
    <row r="41" spans="1:23" x14ac:dyDescent="0.2">
      <c r="A41" t="s">
        <v>112</v>
      </c>
      <c r="B41" t="s">
        <v>157</v>
      </c>
      <c r="C41">
        <v>193.5542619228363</v>
      </c>
      <c r="D41">
        <v>1218</v>
      </c>
      <c r="E41">
        <v>1061</v>
      </c>
      <c r="F41">
        <v>9</v>
      </c>
      <c r="G41">
        <v>9</v>
      </c>
      <c r="H41">
        <v>58996447832941.812</v>
      </c>
      <c r="I41">
        <v>1.05521472392638</v>
      </c>
      <c r="J41">
        <v>1.6699029126213589</v>
      </c>
      <c r="K41">
        <v>1.5825242718446599</v>
      </c>
      <c r="L41">
        <v>11.444444444444439</v>
      </c>
      <c r="M41">
        <v>1212982689600000</v>
      </c>
      <c r="N41">
        <v>2</v>
      </c>
      <c r="O41">
        <v>3</v>
      </c>
      <c r="P41">
        <v>163</v>
      </c>
      <c r="Q41">
        <v>103</v>
      </c>
      <c r="R41">
        <v>9</v>
      </c>
      <c r="S41">
        <v>18</v>
      </c>
      <c r="T41">
        <v>1682</v>
      </c>
      <c r="U41">
        <v>143</v>
      </c>
      <c r="V41">
        <v>6076634126793007</v>
      </c>
      <c r="W41">
        <v>172</v>
      </c>
    </row>
    <row r="42" spans="1:23" x14ac:dyDescent="0.2">
      <c r="A42" t="s">
        <v>114</v>
      </c>
      <c r="B42" t="s">
        <v>157</v>
      </c>
      <c r="C42">
        <v>1.2775788307189939</v>
      </c>
      <c r="D42">
        <v>4</v>
      </c>
      <c r="E42">
        <v>117</v>
      </c>
      <c r="F42">
        <v>3</v>
      </c>
      <c r="G42">
        <v>2</v>
      </c>
      <c r="H42">
        <v>2054.363636363636</v>
      </c>
      <c r="I42">
        <v>5.8636363636363633</v>
      </c>
      <c r="J42">
        <v>5.8636363636363633</v>
      </c>
      <c r="K42">
        <v>1</v>
      </c>
      <c r="L42">
        <v>11</v>
      </c>
      <c r="M42">
        <v>8085</v>
      </c>
      <c r="N42">
        <v>11</v>
      </c>
      <c r="O42">
        <v>1</v>
      </c>
      <c r="P42">
        <v>22</v>
      </c>
      <c r="Q42">
        <v>22</v>
      </c>
      <c r="R42">
        <v>2</v>
      </c>
      <c r="S42">
        <v>13</v>
      </c>
      <c r="T42">
        <v>157</v>
      </c>
      <c r="U42">
        <v>4</v>
      </c>
      <c r="V42">
        <v>45196</v>
      </c>
      <c r="W42">
        <v>129</v>
      </c>
    </row>
    <row r="43" spans="1:23" x14ac:dyDescent="0.2">
      <c r="A43" t="s">
        <v>116</v>
      </c>
      <c r="B43" t="s">
        <v>157</v>
      </c>
      <c r="C43">
        <v>6.813368558883667</v>
      </c>
      <c r="D43">
        <v>275</v>
      </c>
      <c r="E43">
        <v>373</v>
      </c>
      <c r="F43">
        <v>8</v>
      </c>
      <c r="G43">
        <v>8</v>
      </c>
      <c r="H43">
        <v>52</v>
      </c>
      <c r="I43">
        <v>1.053191489361702</v>
      </c>
      <c r="J43">
        <v>1.9411764705882351</v>
      </c>
      <c r="K43">
        <v>1.8431372549019609</v>
      </c>
      <c r="L43">
        <v>6.375</v>
      </c>
      <c r="M43">
        <v>284</v>
      </c>
      <c r="N43">
        <v>2</v>
      </c>
      <c r="O43">
        <v>3</v>
      </c>
      <c r="P43">
        <v>94</v>
      </c>
      <c r="Q43">
        <v>51</v>
      </c>
      <c r="R43">
        <v>8</v>
      </c>
      <c r="S43">
        <v>9</v>
      </c>
      <c r="T43">
        <v>360</v>
      </c>
      <c r="U43">
        <v>54</v>
      </c>
      <c r="V43">
        <v>2652</v>
      </c>
      <c r="W43">
        <v>99</v>
      </c>
    </row>
    <row r="44" spans="1:23" x14ac:dyDescent="0.2">
      <c r="A44" t="s">
        <v>118</v>
      </c>
      <c r="B44" t="s">
        <v>157</v>
      </c>
      <c r="C44">
        <v>5.9130589962005624</v>
      </c>
      <c r="D44">
        <v>659</v>
      </c>
      <c r="E44">
        <v>1288</v>
      </c>
      <c r="F44">
        <v>8</v>
      </c>
      <c r="G44">
        <v>8</v>
      </c>
      <c r="H44">
        <v>6.1860465116279073</v>
      </c>
      <c r="I44">
        <v>1</v>
      </c>
      <c r="J44">
        <v>1.4651162790697669</v>
      </c>
      <c r="K44">
        <v>1.4651162790697669</v>
      </c>
      <c r="L44">
        <v>5.375</v>
      </c>
      <c r="M44">
        <v>19</v>
      </c>
      <c r="N44">
        <v>1</v>
      </c>
      <c r="O44">
        <v>2</v>
      </c>
      <c r="P44">
        <v>63</v>
      </c>
      <c r="Q44">
        <v>43</v>
      </c>
      <c r="R44">
        <v>8</v>
      </c>
      <c r="S44">
        <v>8</v>
      </c>
      <c r="T44">
        <v>281</v>
      </c>
      <c r="U44">
        <v>50</v>
      </c>
      <c r="V44">
        <v>266</v>
      </c>
      <c r="W44">
        <v>63</v>
      </c>
    </row>
    <row r="45" spans="1:23" x14ac:dyDescent="0.2">
      <c r="A45" t="s">
        <v>122</v>
      </c>
      <c r="B45" t="s">
        <v>157</v>
      </c>
      <c r="C45">
        <v>33.393537282943733</v>
      </c>
      <c r="D45">
        <v>568</v>
      </c>
      <c r="E45">
        <v>1335</v>
      </c>
      <c r="F45">
        <v>8</v>
      </c>
      <c r="G45">
        <v>8</v>
      </c>
      <c r="H45">
        <v>13.03333333333333</v>
      </c>
      <c r="I45">
        <v>1.590361445783133</v>
      </c>
      <c r="J45">
        <v>2.2000000000000002</v>
      </c>
      <c r="K45">
        <v>1.3833333333333331</v>
      </c>
      <c r="L45">
        <v>7.5</v>
      </c>
      <c r="M45">
        <v>332</v>
      </c>
      <c r="N45">
        <v>4</v>
      </c>
      <c r="O45">
        <v>4</v>
      </c>
      <c r="P45">
        <v>83</v>
      </c>
      <c r="Q45">
        <v>60</v>
      </c>
      <c r="R45">
        <v>8</v>
      </c>
      <c r="S45">
        <v>14</v>
      </c>
      <c r="T45">
        <v>708</v>
      </c>
      <c r="U45">
        <v>87</v>
      </c>
      <c r="V45">
        <v>782</v>
      </c>
      <c r="W45">
        <v>132</v>
      </c>
    </row>
    <row r="46" spans="1:23" x14ac:dyDescent="0.2">
      <c r="A46" t="s">
        <v>124</v>
      </c>
      <c r="B46" t="s">
        <v>157</v>
      </c>
      <c r="C46">
        <v>558.79100060462952</v>
      </c>
      <c r="D46">
        <v>2237</v>
      </c>
      <c r="E46">
        <v>7415</v>
      </c>
      <c r="F46">
        <v>9</v>
      </c>
      <c r="G46">
        <v>9</v>
      </c>
      <c r="H46">
        <v>3.878378378378379</v>
      </c>
      <c r="I46">
        <v>1.1025641025641031</v>
      </c>
      <c r="J46">
        <v>1.743243243243243</v>
      </c>
      <c r="K46">
        <v>1.5810810810810809</v>
      </c>
      <c r="L46">
        <v>8.2222222222222214</v>
      </c>
      <c r="M46">
        <v>49</v>
      </c>
      <c r="N46">
        <v>2</v>
      </c>
      <c r="O46">
        <v>2</v>
      </c>
      <c r="P46">
        <v>117</v>
      </c>
      <c r="Q46">
        <v>74</v>
      </c>
      <c r="R46">
        <v>9</v>
      </c>
      <c r="S46">
        <v>18</v>
      </c>
      <c r="T46">
        <v>1203</v>
      </c>
      <c r="U46">
        <v>145</v>
      </c>
      <c r="V46">
        <v>287</v>
      </c>
      <c r="W46">
        <v>129</v>
      </c>
    </row>
    <row r="47" spans="1:23" x14ac:dyDescent="0.2">
      <c r="A47" t="s">
        <v>126</v>
      </c>
      <c r="B47" t="s">
        <v>157</v>
      </c>
      <c r="C47">
        <v>12.115880012512211</v>
      </c>
      <c r="D47">
        <v>423</v>
      </c>
      <c r="E47">
        <v>423</v>
      </c>
      <c r="F47">
        <v>9</v>
      </c>
      <c r="G47">
        <v>9</v>
      </c>
      <c r="H47">
        <v>38.213114754098363</v>
      </c>
      <c r="I47">
        <v>1.1475409836065571</v>
      </c>
      <c r="J47">
        <v>1.1475409836065571</v>
      </c>
      <c r="K47">
        <v>1</v>
      </c>
      <c r="L47">
        <v>6.7777777777777777</v>
      </c>
      <c r="M47">
        <v>529</v>
      </c>
      <c r="N47">
        <v>2</v>
      </c>
      <c r="O47">
        <v>2</v>
      </c>
      <c r="P47">
        <v>61</v>
      </c>
      <c r="Q47">
        <v>61</v>
      </c>
      <c r="R47">
        <v>9</v>
      </c>
      <c r="S47">
        <v>18</v>
      </c>
      <c r="T47">
        <v>1028</v>
      </c>
      <c r="U47">
        <v>147</v>
      </c>
      <c r="V47">
        <v>2331</v>
      </c>
      <c r="W47">
        <v>70</v>
      </c>
    </row>
    <row r="48" spans="1:23" x14ac:dyDescent="0.2">
      <c r="A48" t="s">
        <v>127</v>
      </c>
      <c r="B48" t="s">
        <v>157</v>
      </c>
      <c r="C48">
        <v>312.5510938167572</v>
      </c>
      <c r="D48">
        <v>3197</v>
      </c>
      <c r="E48">
        <v>3446</v>
      </c>
      <c r="F48">
        <v>12</v>
      </c>
      <c r="G48">
        <v>12</v>
      </c>
      <c r="H48">
        <v>9.5102040816326525</v>
      </c>
      <c r="I48">
        <v>1</v>
      </c>
      <c r="J48">
        <v>1.6326530612244901</v>
      </c>
      <c r="K48">
        <v>1.6326530612244901</v>
      </c>
      <c r="L48">
        <v>8.1666666666666661</v>
      </c>
      <c r="M48">
        <v>37</v>
      </c>
      <c r="N48">
        <v>1</v>
      </c>
      <c r="O48">
        <v>3</v>
      </c>
      <c r="P48">
        <v>160</v>
      </c>
      <c r="Q48">
        <v>98</v>
      </c>
      <c r="R48">
        <v>12</v>
      </c>
      <c r="S48">
        <v>12</v>
      </c>
      <c r="T48">
        <v>1016</v>
      </c>
      <c r="U48">
        <v>120</v>
      </c>
      <c r="V48">
        <v>932</v>
      </c>
      <c r="W48">
        <v>160</v>
      </c>
    </row>
    <row r="49" spans="1:23" x14ac:dyDescent="0.2">
      <c r="A49" t="s">
        <v>132</v>
      </c>
      <c r="B49" t="s">
        <v>157</v>
      </c>
      <c r="C49">
        <v>2.5906884670257568</v>
      </c>
      <c r="D49">
        <v>47</v>
      </c>
      <c r="E49">
        <v>195</v>
      </c>
      <c r="F49">
        <v>4</v>
      </c>
      <c r="G49">
        <v>4</v>
      </c>
      <c r="H49">
        <v>1.8</v>
      </c>
      <c r="I49">
        <v>3.5</v>
      </c>
      <c r="J49">
        <v>2.8</v>
      </c>
      <c r="K49">
        <v>0.8</v>
      </c>
      <c r="L49">
        <v>5</v>
      </c>
      <c r="M49">
        <v>2</v>
      </c>
      <c r="N49">
        <v>5</v>
      </c>
      <c r="O49">
        <v>1</v>
      </c>
      <c r="P49">
        <v>16</v>
      </c>
      <c r="Q49">
        <v>20</v>
      </c>
      <c r="R49">
        <v>4</v>
      </c>
      <c r="S49">
        <v>20</v>
      </c>
      <c r="T49">
        <v>344</v>
      </c>
      <c r="U49">
        <v>66</v>
      </c>
      <c r="V49">
        <v>36</v>
      </c>
      <c r="W49">
        <v>56</v>
      </c>
    </row>
    <row r="50" spans="1:23" x14ac:dyDescent="0.2">
      <c r="A50" t="s">
        <v>133</v>
      </c>
      <c r="B50" t="s">
        <v>157</v>
      </c>
      <c r="C50">
        <v>4.3614299297332764</v>
      </c>
      <c r="D50">
        <v>318</v>
      </c>
      <c r="E50">
        <v>73</v>
      </c>
      <c r="F50">
        <v>9</v>
      </c>
      <c r="G50">
        <v>9</v>
      </c>
      <c r="H50">
        <v>10.11627906976744</v>
      </c>
      <c r="I50">
        <v>1.671428571428571</v>
      </c>
      <c r="J50">
        <v>2.720930232558139</v>
      </c>
      <c r="K50">
        <v>1.6279069767441861</v>
      </c>
      <c r="L50">
        <v>4.7777777777777777</v>
      </c>
      <c r="M50">
        <v>50</v>
      </c>
      <c r="N50">
        <v>4</v>
      </c>
      <c r="O50">
        <v>3</v>
      </c>
      <c r="P50">
        <v>70</v>
      </c>
      <c r="Q50">
        <v>43</v>
      </c>
      <c r="R50">
        <v>9</v>
      </c>
      <c r="S50">
        <v>24</v>
      </c>
      <c r="T50">
        <v>915</v>
      </c>
      <c r="U50">
        <v>184</v>
      </c>
      <c r="V50">
        <v>435</v>
      </c>
      <c r="W50">
        <v>117</v>
      </c>
    </row>
    <row r="51" spans="1:23" x14ac:dyDescent="0.2">
      <c r="A51" t="s">
        <v>135</v>
      </c>
      <c r="B51" t="s">
        <v>157</v>
      </c>
      <c r="C51">
        <v>2115.4348285198212</v>
      </c>
      <c r="D51">
        <v>7171</v>
      </c>
      <c r="E51">
        <v>15946</v>
      </c>
      <c r="F51">
        <v>10</v>
      </c>
      <c r="G51">
        <v>10</v>
      </c>
      <c r="H51">
        <v>18.875</v>
      </c>
      <c r="I51">
        <v>0.95</v>
      </c>
      <c r="J51">
        <v>2.671875</v>
      </c>
      <c r="K51">
        <v>2.8125</v>
      </c>
      <c r="L51">
        <v>6.4</v>
      </c>
      <c r="M51">
        <v>29</v>
      </c>
      <c r="N51">
        <v>1</v>
      </c>
      <c r="O51">
        <v>4</v>
      </c>
      <c r="P51">
        <v>180</v>
      </c>
      <c r="Q51">
        <v>64</v>
      </c>
      <c r="R51">
        <v>10</v>
      </c>
      <c r="S51">
        <v>10</v>
      </c>
      <c r="T51">
        <v>469</v>
      </c>
      <c r="U51">
        <v>65</v>
      </c>
      <c r="V51">
        <v>1208</v>
      </c>
      <c r="W51">
        <v>171</v>
      </c>
    </row>
    <row r="52" spans="1:23" x14ac:dyDescent="0.2">
      <c r="A52" t="s">
        <v>137</v>
      </c>
      <c r="B52" t="s">
        <v>157</v>
      </c>
      <c r="C52">
        <v>2699.6370847225189</v>
      </c>
      <c r="D52">
        <v>12796</v>
      </c>
      <c r="E52">
        <v>13504</v>
      </c>
      <c r="F52">
        <v>14</v>
      </c>
      <c r="G52">
        <v>15</v>
      </c>
      <c r="H52">
        <v>14.562770562770559</v>
      </c>
      <c r="I52">
        <v>1</v>
      </c>
      <c r="J52">
        <v>2.8138528138528138</v>
      </c>
      <c r="K52">
        <v>2.8138528138528138</v>
      </c>
      <c r="L52">
        <v>30.8</v>
      </c>
      <c r="M52">
        <v>43</v>
      </c>
      <c r="N52">
        <v>1</v>
      </c>
      <c r="O52">
        <v>4</v>
      </c>
      <c r="P52">
        <v>1300</v>
      </c>
      <c r="Q52">
        <v>462</v>
      </c>
      <c r="R52">
        <v>15</v>
      </c>
      <c r="S52">
        <v>14</v>
      </c>
      <c r="T52">
        <v>5168</v>
      </c>
      <c r="U52">
        <v>176</v>
      </c>
      <c r="V52">
        <v>6728</v>
      </c>
      <c r="W52">
        <v>1300</v>
      </c>
    </row>
    <row r="53" spans="1:23" x14ac:dyDescent="0.2">
      <c r="A53" t="s">
        <v>139</v>
      </c>
      <c r="B53" t="s">
        <v>157</v>
      </c>
      <c r="C53">
        <v>31.59534049034119</v>
      </c>
      <c r="D53">
        <v>548</v>
      </c>
      <c r="E53">
        <v>3163</v>
      </c>
      <c r="F53">
        <v>6</v>
      </c>
      <c r="G53">
        <v>6</v>
      </c>
      <c r="H53">
        <v>3.875</v>
      </c>
      <c r="I53">
        <v>1</v>
      </c>
      <c r="J53">
        <v>3</v>
      </c>
      <c r="K53">
        <v>3</v>
      </c>
      <c r="L53">
        <v>5.333333333333333</v>
      </c>
      <c r="M53">
        <v>13</v>
      </c>
      <c r="N53">
        <v>1</v>
      </c>
      <c r="O53">
        <v>6</v>
      </c>
      <c r="P53">
        <v>96</v>
      </c>
      <c r="Q53">
        <v>32</v>
      </c>
      <c r="R53">
        <v>6</v>
      </c>
      <c r="S53">
        <v>6</v>
      </c>
      <c r="T53">
        <v>96</v>
      </c>
      <c r="U53">
        <v>15</v>
      </c>
      <c r="V53">
        <v>124</v>
      </c>
      <c r="W53">
        <v>96</v>
      </c>
    </row>
    <row r="54" spans="1:23" x14ac:dyDescent="0.2">
      <c r="A54" t="s">
        <v>141</v>
      </c>
      <c r="B54" t="s">
        <v>157</v>
      </c>
      <c r="C54">
        <v>1069.1446053981781</v>
      </c>
      <c r="D54">
        <v>2865</v>
      </c>
      <c r="E54">
        <v>6268</v>
      </c>
      <c r="F54">
        <v>13</v>
      </c>
      <c r="G54">
        <v>11</v>
      </c>
      <c r="H54">
        <v>8.2564102564102573</v>
      </c>
      <c r="I54">
        <v>1.1875</v>
      </c>
      <c r="J54">
        <v>1.9487179487179489</v>
      </c>
      <c r="K54">
        <v>1.641025641025641</v>
      </c>
      <c r="L54">
        <v>3.545454545454545</v>
      </c>
      <c r="M54">
        <v>41</v>
      </c>
      <c r="N54">
        <v>3</v>
      </c>
      <c r="O54">
        <v>4</v>
      </c>
      <c r="P54">
        <v>64</v>
      </c>
      <c r="Q54">
        <v>39</v>
      </c>
      <c r="R54">
        <v>11</v>
      </c>
      <c r="S54">
        <v>19</v>
      </c>
      <c r="T54">
        <v>665</v>
      </c>
      <c r="U54">
        <v>181</v>
      </c>
      <c r="V54">
        <v>322</v>
      </c>
      <c r="W54">
        <v>76</v>
      </c>
    </row>
    <row r="55" spans="1:23" x14ac:dyDescent="0.2">
      <c r="A55" t="s">
        <v>142</v>
      </c>
      <c r="B55" t="s">
        <v>157</v>
      </c>
      <c r="C55">
        <v>989.02933526039124</v>
      </c>
      <c r="D55">
        <v>831</v>
      </c>
      <c r="E55">
        <v>5237</v>
      </c>
      <c r="F55">
        <v>6</v>
      </c>
      <c r="G55">
        <v>6</v>
      </c>
      <c r="H55">
        <v>1.857142857142857</v>
      </c>
      <c r="I55">
        <v>4.5</v>
      </c>
      <c r="J55">
        <v>3.8571428571428572</v>
      </c>
      <c r="K55">
        <v>0.8571428571428571</v>
      </c>
      <c r="L55">
        <v>7</v>
      </c>
      <c r="M55">
        <v>2</v>
      </c>
      <c r="N55">
        <v>7</v>
      </c>
      <c r="O55">
        <v>1</v>
      </c>
      <c r="P55">
        <v>36</v>
      </c>
      <c r="Q55">
        <v>42</v>
      </c>
      <c r="R55">
        <v>6</v>
      </c>
      <c r="S55">
        <v>42</v>
      </c>
      <c r="T55">
        <v>1602</v>
      </c>
      <c r="U55">
        <v>225</v>
      </c>
      <c r="V55">
        <v>78</v>
      </c>
      <c r="W55">
        <v>162</v>
      </c>
    </row>
    <row r="56" spans="1:23" x14ac:dyDescent="0.2">
      <c r="A56" t="s">
        <v>145</v>
      </c>
      <c r="B56" t="s">
        <v>157</v>
      </c>
      <c r="C56">
        <v>3495.8658490180969</v>
      </c>
      <c r="D56">
        <v>13913</v>
      </c>
      <c r="E56">
        <v>55021</v>
      </c>
      <c r="F56">
        <v>8</v>
      </c>
      <c r="G56">
        <v>11</v>
      </c>
      <c r="H56">
        <v>1027.4955752212391</v>
      </c>
      <c r="I56">
        <v>1.8048780487804881</v>
      </c>
      <c r="J56">
        <v>3.9292035398230092</v>
      </c>
      <c r="K56">
        <v>2.1769911504424782</v>
      </c>
      <c r="L56">
        <v>10.27272727272727</v>
      </c>
      <c r="M56">
        <v>83521</v>
      </c>
      <c r="N56">
        <v>6</v>
      </c>
      <c r="O56">
        <v>4</v>
      </c>
      <c r="P56">
        <v>246</v>
      </c>
      <c r="Q56">
        <v>113</v>
      </c>
      <c r="R56">
        <v>11</v>
      </c>
      <c r="S56">
        <v>32</v>
      </c>
      <c r="T56">
        <v>3172</v>
      </c>
      <c r="U56">
        <v>311</v>
      </c>
      <c r="V56">
        <v>116107</v>
      </c>
      <c r="W56">
        <v>444</v>
      </c>
    </row>
    <row r="57" spans="1:23" x14ac:dyDescent="0.2">
      <c r="A57" t="s">
        <v>146</v>
      </c>
      <c r="B57" t="s">
        <v>157</v>
      </c>
      <c r="C57">
        <v>11.813479423522949</v>
      </c>
      <c r="D57">
        <v>100</v>
      </c>
      <c r="E57">
        <v>1834</v>
      </c>
      <c r="F57">
        <v>6</v>
      </c>
      <c r="G57">
        <v>4</v>
      </c>
      <c r="H57">
        <v>9.9479166666666661</v>
      </c>
      <c r="I57">
        <v>1.1379310344827589</v>
      </c>
      <c r="J57">
        <v>4.125</v>
      </c>
      <c r="K57">
        <v>3.625</v>
      </c>
      <c r="L57">
        <v>24</v>
      </c>
      <c r="M57">
        <v>24</v>
      </c>
      <c r="N57">
        <v>2</v>
      </c>
      <c r="O57">
        <v>6</v>
      </c>
      <c r="P57">
        <v>348</v>
      </c>
      <c r="Q57">
        <v>96</v>
      </c>
      <c r="R57">
        <v>4</v>
      </c>
      <c r="S57">
        <v>10</v>
      </c>
      <c r="T57">
        <v>564</v>
      </c>
      <c r="U57">
        <v>16</v>
      </c>
      <c r="V57">
        <v>955</v>
      </c>
      <c r="W57">
        <v>396</v>
      </c>
    </row>
    <row r="58" spans="1:23" x14ac:dyDescent="0.2">
      <c r="A58" t="s">
        <v>148</v>
      </c>
      <c r="B58" t="s">
        <v>157</v>
      </c>
      <c r="C58">
        <v>226.29523682594299</v>
      </c>
      <c r="D58">
        <v>1418</v>
      </c>
      <c r="E58">
        <v>16010</v>
      </c>
      <c r="F58">
        <v>6</v>
      </c>
      <c r="G58">
        <v>6</v>
      </c>
      <c r="H58">
        <v>10.142857142857141</v>
      </c>
      <c r="I58">
        <v>1.454545454545455</v>
      </c>
      <c r="J58">
        <v>2.285714285714286</v>
      </c>
      <c r="K58">
        <v>1.571428571428571</v>
      </c>
      <c r="L58">
        <v>7</v>
      </c>
      <c r="M58">
        <v>11</v>
      </c>
      <c r="N58">
        <v>2</v>
      </c>
      <c r="O58">
        <v>2</v>
      </c>
      <c r="P58">
        <v>66</v>
      </c>
      <c r="Q58">
        <v>42</v>
      </c>
      <c r="R58">
        <v>6</v>
      </c>
      <c r="S58">
        <v>12</v>
      </c>
      <c r="T58">
        <v>408</v>
      </c>
      <c r="U58">
        <v>54</v>
      </c>
      <c r="V58">
        <v>426</v>
      </c>
      <c r="W58">
        <v>96</v>
      </c>
    </row>
    <row r="59" spans="1:23" x14ac:dyDescent="0.2">
      <c r="A59" t="s">
        <v>149</v>
      </c>
      <c r="B59" t="s">
        <v>157</v>
      </c>
      <c r="C59">
        <v>135.79255867004389</v>
      </c>
      <c r="D59">
        <v>1218</v>
      </c>
      <c r="E59">
        <v>1070</v>
      </c>
      <c r="F59">
        <v>9</v>
      </c>
      <c r="G59">
        <v>9</v>
      </c>
      <c r="H59">
        <v>58996447832941.812</v>
      </c>
      <c r="I59">
        <v>1.05521472392638</v>
      </c>
      <c r="J59">
        <v>1.6699029126213589</v>
      </c>
      <c r="K59">
        <v>1.5825242718446599</v>
      </c>
      <c r="L59">
        <v>11.444444444444439</v>
      </c>
      <c r="M59">
        <v>1212982689600000</v>
      </c>
      <c r="N59">
        <v>2</v>
      </c>
      <c r="O59">
        <v>3</v>
      </c>
      <c r="P59">
        <v>163</v>
      </c>
      <c r="Q59">
        <v>103</v>
      </c>
      <c r="R59">
        <v>9</v>
      </c>
      <c r="S59">
        <v>18</v>
      </c>
      <c r="T59">
        <v>1682</v>
      </c>
      <c r="U59">
        <v>143</v>
      </c>
      <c r="V59">
        <v>6076634126793007</v>
      </c>
      <c r="W59">
        <v>172</v>
      </c>
    </row>
    <row r="60" spans="1:23" x14ac:dyDescent="0.2">
      <c r="A60" t="s">
        <v>150</v>
      </c>
      <c r="B60" t="s">
        <v>157</v>
      </c>
      <c r="C60">
        <v>493.77350378036499</v>
      </c>
      <c r="D60">
        <v>2210</v>
      </c>
      <c r="E60">
        <v>3911</v>
      </c>
      <c r="F60">
        <v>11</v>
      </c>
      <c r="G60">
        <v>11</v>
      </c>
      <c r="H60">
        <v>46.761904761904759</v>
      </c>
      <c r="I60">
        <v>1.2325581395348839</v>
      </c>
      <c r="J60">
        <v>1.2619047619047621</v>
      </c>
      <c r="K60">
        <v>1.0238095238095239</v>
      </c>
      <c r="L60">
        <v>3.8181818181818179</v>
      </c>
      <c r="M60">
        <v>841</v>
      </c>
      <c r="N60">
        <v>2</v>
      </c>
      <c r="O60">
        <v>3</v>
      </c>
      <c r="P60">
        <v>43</v>
      </c>
      <c r="Q60">
        <v>42</v>
      </c>
      <c r="R60">
        <v>11</v>
      </c>
      <c r="S60">
        <v>21</v>
      </c>
      <c r="T60">
        <v>829</v>
      </c>
      <c r="U60">
        <v>211</v>
      </c>
      <c r="V60">
        <v>1964</v>
      </c>
      <c r="W60">
        <v>53</v>
      </c>
    </row>
    <row r="61" spans="1:23" x14ac:dyDescent="0.2">
      <c r="A61" t="s">
        <v>154</v>
      </c>
      <c r="B61" t="s">
        <v>157</v>
      </c>
      <c r="C61">
        <v>3.556601762771606</v>
      </c>
      <c r="D61">
        <v>39</v>
      </c>
      <c r="E61">
        <v>157</v>
      </c>
      <c r="F61">
        <v>5</v>
      </c>
      <c r="G61">
        <v>4</v>
      </c>
      <c r="H61">
        <v>391.11111111111109</v>
      </c>
      <c r="I61">
        <v>1.8269230769230771</v>
      </c>
      <c r="J61">
        <v>4.2222222222222223</v>
      </c>
      <c r="K61">
        <v>2.3111111111111109</v>
      </c>
      <c r="L61">
        <v>11.25</v>
      </c>
      <c r="M61">
        <v>5184</v>
      </c>
      <c r="N61">
        <v>4</v>
      </c>
      <c r="O61">
        <v>4</v>
      </c>
      <c r="P61">
        <v>104</v>
      </c>
      <c r="Q61">
        <v>45</v>
      </c>
      <c r="R61">
        <v>4</v>
      </c>
      <c r="S61">
        <v>13</v>
      </c>
      <c r="T61">
        <v>395</v>
      </c>
      <c r="U61">
        <v>27</v>
      </c>
      <c r="V61">
        <v>17600</v>
      </c>
      <c r="W61">
        <v>190</v>
      </c>
    </row>
    <row r="62" spans="1:23" x14ac:dyDescent="0.2">
      <c r="A62" t="s">
        <v>155</v>
      </c>
      <c r="B62" t="s">
        <v>157</v>
      </c>
      <c r="C62">
        <v>8.7798089981079102</v>
      </c>
      <c r="D62">
        <v>4951</v>
      </c>
      <c r="E62">
        <v>6886</v>
      </c>
      <c r="F62">
        <v>16</v>
      </c>
      <c r="G62">
        <v>16</v>
      </c>
      <c r="H62">
        <v>75.671875</v>
      </c>
      <c r="I62">
        <v>1.032258064516129</v>
      </c>
      <c r="J62">
        <v>2</v>
      </c>
      <c r="K62">
        <v>1.9375</v>
      </c>
      <c r="L62">
        <v>4</v>
      </c>
      <c r="M62">
        <v>2809</v>
      </c>
      <c r="N62">
        <v>2</v>
      </c>
      <c r="O62">
        <v>2</v>
      </c>
      <c r="P62">
        <v>124</v>
      </c>
      <c r="Q62">
        <v>64</v>
      </c>
      <c r="R62">
        <v>16</v>
      </c>
      <c r="S62">
        <v>20</v>
      </c>
      <c r="T62">
        <v>1152</v>
      </c>
      <c r="U62">
        <v>288</v>
      </c>
      <c r="V62">
        <v>4843</v>
      </c>
      <c r="W62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2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157</v>
      </c>
      <c r="C2">
        <v>55.535470008850098</v>
      </c>
      <c r="D2">
        <v>871</v>
      </c>
      <c r="E2">
        <v>1133</v>
      </c>
      <c r="F2">
        <v>8</v>
      </c>
      <c r="G2">
        <v>8</v>
      </c>
      <c r="H2">
        <v>27.302325581395351</v>
      </c>
      <c r="I2">
        <v>1</v>
      </c>
      <c r="J2">
        <v>1.953488372093023</v>
      </c>
      <c r="K2">
        <v>1.953488372093023</v>
      </c>
      <c r="L2">
        <v>5.375</v>
      </c>
      <c r="M2">
        <v>47</v>
      </c>
      <c r="N2">
        <v>1</v>
      </c>
      <c r="O2">
        <v>3</v>
      </c>
      <c r="P2">
        <v>84</v>
      </c>
      <c r="Q2">
        <v>43</v>
      </c>
      <c r="R2">
        <v>8</v>
      </c>
      <c r="S2">
        <v>8</v>
      </c>
      <c r="T2">
        <v>260</v>
      </c>
      <c r="U2">
        <v>43</v>
      </c>
      <c r="V2">
        <v>1174</v>
      </c>
      <c r="W2">
        <v>84</v>
      </c>
    </row>
    <row r="3" spans="1:23" x14ac:dyDescent="0.2">
      <c r="A3" t="s">
        <v>25</v>
      </c>
      <c r="B3" t="s">
        <v>157</v>
      </c>
      <c r="C3">
        <v>218.5860230922699</v>
      </c>
      <c r="D3">
        <v>3652</v>
      </c>
      <c r="E3">
        <v>1019</v>
      </c>
      <c r="F3">
        <v>34</v>
      </c>
      <c r="G3">
        <v>34</v>
      </c>
      <c r="H3">
        <v>33301.011904761908</v>
      </c>
      <c r="I3">
        <v>1.121472392638037</v>
      </c>
      <c r="J3">
        <v>3.626984126984127</v>
      </c>
      <c r="K3">
        <v>3.2341269841269842</v>
      </c>
      <c r="L3">
        <v>7.4117647058823533</v>
      </c>
      <c r="M3">
        <v>2500000</v>
      </c>
      <c r="N3">
        <v>2</v>
      </c>
      <c r="O3">
        <v>6</v>
      </c>
      <c r="P3">
        <v>815</v>
      </c>
      <c r="Q3">
        <v>252</v>
      </c>
      <c r="R3">
        <v>34</v>
      </c>
      <c r="S3">
        <v>68</v>
      </c>
      <c r="T3">
        <v>16222</v>
      </c>
      <c r="U3">
        <v>2240</v>
      </c>
      <c r="V3">
        <v>8391855</v>
      </c>
      <c r="W3">
        <v>914</v>
      </c>
    </row>
    <row r="4" spans="1:23" x14ac:dyDescent="0.2">
      <c r="A4" t="s">
        <v>26</v>
      </c>
      <c r="B4" t="s">
        <v>157</v>
      </c>
      <c r="C4">
        <v>43.680763483047492</v>
      </c>
      <c r="D4">
        <v>2194</v>
      </c>
      <c r="E4">
        <v>5774</v>
      </c>
      <c r="F4">
        <v>9</v>
      </c>
      <c r="G4">
        <v>9</v>
      </c>
      <c r="H4">
        <v>33.79245283018868</v>
      </c>
      <c r="I4">
        <v>1</v>
      </c>
      <c r="J4">
        <v>1.5094339622641511</v>
      </c>
      <c r="K4">
        <v>1.5094339622641511</v>
      </c>
      <c r="L4">
        <v>5.8888888888888893</v>
      </c>
      <c r="M4">
        <v>61</v>
      </c>
      <c r="N4">
        <v>1</v>
      </c>
      <c r="O4">
        <v>2</v>
      </c>
      <c r="P4">
        <v>80</v>
      </c>
      <c r="Q4">
        <v>53</v>
      </c>
      <c r="R4">
        <v>9</v>
      </c>
      <c r="S4">
        <v>9</v>
      </c>
      <c r="T4">
        <v>397</v>
      </c>
      <c r="U4">
        <v>65</v>
      </c>
      <c r="V4">
        <v>1791</v>
      </c>
      <c r="W4">
        <v>80</v>
      </c>
    </row>
    <row r="5" spans="1:23" x14ac:dyDescent="0.2">
      <c r="A5" t="s">
        <v>27</v>
      </c>
      <c r="B5" t="s">
        <v>157</v>
      </c>
      <c r="C5">
        <v>295.52030849456793</v>
      </c>
      <c r="D5">
        <v>7418</v>
      </c>
      <c r="E5">
        <v>24853</v>
      </c>
      <c r="F5">
        <v>10</v>
      </c>
      <c r="G5">
        <v>10</v>
      </c>
      <c r="H5">
        <v>38.875</v>
      </c>
      <c r="I5">
        <v>1</v>
      </c>
      <c r="J5">
        <v>1.546875</v>
      </c>
      <c r="K5">
        <v>1.546875</v>
      </c>
      <c r="L5">
        <v>6.4</v>
      </c>
      <c r="M5">
        <v>71</v>
      </c>
      <c r="N5">
        <v>1</v>
      </c>
      <c r="O5">
        <v>2</v>
      </c>
      <c r="P5">
        <v>99</v>
      </c>
      <c r="Q5">
        <v>64</v>
      </c>
      <c r="R5">
        <v>10</v>
      </c>
      <c r="S5">
        <v>10</v>
      </c>
      <c r="T5">
        <v>541</v>
      </c>
      <c r="U5">
        <v>82</v>
      </c>
      <c r="V5">
        <v>2488</v>
      </c>
      <c r="W5">
        <v>99</v>
      </c>
    </row>
    <row r="6" spans="1:23" x14ac:dyDescent="0.2">
      <c r="A6" t="s">
        <v>30</v>
      </c>
      <c r="B6" t="s">
        <v>157</v>
      </c>
      <c r="C6">
        <v>6.0836923122406006</v>
      </c>
      <c r="D6">
        <v>275</v>
      </c>
      <c r="E6">
        <v>381</v>
      </c>
      <c r="F6">
        <v>8</v>
      </c>
      <c r="G6">
        <v>8</v>
      </c>
      <c r="H6">
        <v>130.31372549019611</v>
      </c>
      <c r="I6">
        <v>1.053191489361702</v>
      </c>
      <c r="J6">
        <v>1.9411764705882351</v>
      </c>
      <c r="K6">
        <v>1.8431372549019609</v>
      </c>
      <c r="L6">
        <v>6.375</v>
      </c>
      <c r="M6">
        <v>1056</v>
      </c>
      <c r="N6">
        <v>2</v>
      </c>
      <c r="O6">
        <v>3</v>
      </c>
      <c r="P6">
        <v>94</v>
      </c>
      <c r="Q6">
        <v>51</v>
      </c>
      <c r="R6">
        <v>8</v>
      </c>
      <c r="S6">
        <v>9</v>
      </c>
      <c r="T6">
        <v>360</v>
      </c>
      <c r="U6">
        <v>54</v>
      </c>
      <c r="V6">
        <v>6646</v>
      </c>
      <c r="W6">
        <v>99</v>
      </c>
    </row>
    <row r="7" spans="1:23" x14ac:dyDescent="0.2">
      <c r="A7" t="s">
        <v>31</v>
      </c>
      <c r="B7" t="s">
        <v>157</v>
      </c>
      <c r="C7">
        <v>1648.710386753082</v>
      </c>
      <c r="D7">
        <v>4420</v>
      </c>
      <c r="E7">
        <v>2285</v>
      </c>
      <c r="F7">
        <v>29</v>
      </c>
      <c r="G7">
        <v>29</v>
      </c>
      <c r="H7">
        <v>52967989470902.977</v>
      </c>
      <c r="I7">
        <v>1.4862385321100919</v>
      </c>
      <c r="J7">
        <v>1.8984375</v>
      </c>
      <c r="K7">
        <v>1.27734375</v>
      </c>
      <c r="L7">
        <v>8.8275862068965516</v>
      </c>
      <c r="M7">
        <v>1E+16</v>
      </c>
      <c r="N7">
        <v>16</v>
      </c>
      <c r="O7">
        <v>3</v>
      </c>
      <c r="P7">
        <v>327</v>
      </c>
      <c r="Q7">
        <v>256</v>
      </c>
      <c r="R7">
        <v>29</v>
      </c>
      <c r="S7">
        <v>47</v>
      </c>
      <c r="T7">
        <v>11546</v>
      </c>
      <c r="U7">
        <v>1250</v>
      </c>
      <c r="V7">
        <v>1.355980530455116E+16</v>
      </c>
      <c r="W7">
        <v>486</v>
      </c>
    </row>
    <row r="8" spans="1:23" x14ac:dyDescent="0.2">
      <c r="A8" t="s">
        <v>33</v>
      </c>
      <c r="B8" t="s">
        <v>157</v>
      </c>
      <c r="C8">
        <v>47.205440282821662</v>
      </c>
      <c r="D8">
        <v>2022</v>
      </c>
      <c r="E8">
        <v>1818</v>
      </c>
      <c r="F8">
        <v>12</v>
      </c>
      <c r="G8">
        <v>12</v>
      </c>
      <c r="H8">
        <v>6715.826086956522</v>
      </c>
      <c r="I8">
        <v>1.203389830508474</v>
      </c>
      <c r="J8">
        <v>1.543478260869565</v>
      </c>
      <c r="K8">
        <v>1.2826086956521741</v>
      </c>
      <c r="L8">
        <v>3.833333333333333</v>
      </c>
      <c r="M8">
        <v>39701</v>
      </c>
      <c r="N8">
        <v>2</v>
      </c>
      <c r="O8">
        <v>3</v>
      </c>
      <c r="P8">
        <v>59</v>
      </c>
      <c r="Q8">
        <v>46</v>
      </c>
      <c r="R8">
        <v>12</v>
      </c>
      <c r="S8">
        <v>24</v>
      </c>
      <c r="T8">
        <v>1033</v>
      </c>
      <c r="U8">
        <v>263</v>
      </c>
      <c r="V8">
        <v>308928</v>
      </c>
      <c r="W8">
        <v>71</v>
      </c>
    </row>
    <row r="9" spans="1:23" x14ac:dyDescent="0.2">
      <c r="A9" t="s">
        <v>35</v>
      </c>
      <c r="B9" t="s">
        <v>157</v>
      </c>
      <c r="C9">
        <v>1.2788629531860349</v>
      </c>
      <c r="D9">
        <v>177</v>
      </c>
      <c r="E9">
        <v>100</v>
      </c>
      <c r="F9">
        <v>6</v>
      </c>
      <c r="G9">
        <v>6</v>
      </c>
      <c r="H9">
        <v>5778.3658536585363</v>
      </c>
      <c r="I9">
        <v>1</v>
      </c>
      <c r="J9">
        <v>1.51219512195122</v>
      </c>
      <c r="K9">
        <v>1.51219512195122</v>
      </c>
      <c r="L9">
        <v>13.66666666666667</v>
      </c>
      <c r="M9">
        <v>57031</v>
      </c>
      <c r="N9">
        <v>1</v>
      </c>
      <c r="O9">
        <v>2</v>
      </c>
      <c r="P9">
        <v>124</v>
      </c>
      <c r="Q9">
        <v>82</v>
      </c>
      <c r="R9">
        <v>6</v>
      </c>
      <c r="S9">
        <v>6</v>
      </c>
      <c r="T9">
        <v>368</v>
      </c>
      <c r="U9">
        <v>24</v>
      </c>
      <c r="V9">
        <v>473826</v>
      </c>
      <c r="W9">
        <v>124</v>
      </c>
    </row>
    <row r="10" spans="1:23" x14ac:dyDescent="0.2">
      <c r="A10" t="s">
        <v>36</v>
      </c>
      <c r="B10" t="s">
        <v>157</v>
      </c>
      <c r="C10">
        <v>2.447412252426147</v>
      </c>
      <c r="D10">
        <v>226</v>
      </c>
      <c r="E10">
        <v>141</v>
      </c>
      <c r="F10">
        <v>6</v>
      </c>
      <c r="G10">
        <v>6</v>
      </c>
      <c r="H10">
        <v>286.64705882352939</v>
      </c>
      <c r="I10">
        <v>1.3731343283582089</v>
      </c>
      <c r="J10">
        <v>1.803921568627451</v>
      </c>
      <c r="K10">
        <v>1.313725490196078</v>
      </c>
      <c r="L10">
        <v>8.5</v>
      </c>
      <c r="M10">
        <v>1369</v>
      </c>
      <c r="N10">
        <v>2</v>
      </c>
      <c r="O10">
        <v>2</v>
      </c>
      <c r="P10">
        <v>67</v>
      </c>
      <c r="Q10">
        <v>51</v>
      </c>
      <c r="R10">
        <v>6</v>
      </c>
      <c r="S10">
        <v>12</v>
      </c>
      <c r="T10">
        <v>520</v>
      </c>
      <c r="U10">
        <v>60</v>
      </c>
      <c r="V10">
        <v>14619</v>
      </c>
      <c r="W10">
        <v>92</v>
      </c>
    </row>
    <row r="11" spans="1:23" x14ac:dyDescent="0.2">
      <c r="A11" t="s">
        <v>38</v>
      </c>
      <c r="B11" t="s">
        <v>157</v>
      </c>
      <c r="C11">
        <v>129.7519953250885</v>
      </c>
      <c r="D11">
        <v>274</v>
      </c>
      <c r="E11">
        <v>1764</v>
      </c>
      <c r="F11">
        <v>5</v>
      </c>
      <c r="G11">
        <v>5</v>
      </c>
      <c r="H11">
        <v>1.833333333333333</v>
      </c>
      <c r="I11">
        <v>4</v>
      </c>
      <c r="J11">
        <v>3.333333333333333</v>
      </c>
      <c r="K11">
        <v>0.83333333333333337</v>
      </c>
      <c r="L11">
        <v>6</v>
      </c>
      <c r="M11">
        <v>2</v>
      </c>
      <c r="N11">
        <v>6</v>
      </c>
      <c r="O11">
        <v>1</v>
      </c>
      <c r="P11">
        <v>25</v>
      </c>
      <c r="Q11">
        <v>30</v>
      </c>
      <c r="R11">
        <v>5</v>
      </c>
      <c r="S11">
        <v>30</v>
      </c>
      <c r="T11">
        <v>800</v>
      </c>
      <c r="U11">
        <v>130</v>
      </c>
      <c r="V11">
        <v>55</v>
      </c>
      <c r="W11">
        <v>100</v>
      </c>
    </row>
    <row r="12" spans="1:23" x14ac:dyDescent="0.2">
      <c r="A12" t="s">
        <v>44</v>
      </c>
      <c r="B12" t="s">
        <v>157</v>
      </c>
      <c r="C12">
        <v>111.3378133773804</v>
      </c>
      <c r="D12">
        <v>2797</v>
      </c>
      <c r="E12">
        <v>2850</v>
      </c>
      <c r="F12">
        <v>12</v>
      </c>
      <c r="G12">
        <v>12</v>
      </c>
      <c r="H12">
        <v>6715.826086956522</v>
      </c>
      <c r="I12">
        <v>1.1111111111111109</v>
      </c>
      <c r="J12">
        <v>1.7391304347826091</v>
      </c>
      <c r="K12">
        <v>1.5652173913043479</v>
      </c>
      <c r="L12">
        <v>3.833333333333333</v>
      </c>
      <c r="M12">
        <v>39701</v>
      </c>
      <c r="N12">
        <v>2</v>
      </c>
      <c r="O12">
        <v>5</v>
      </c>
      <c r="P12">
        <v>72</v>
      </c>
      <c r="Q12">
        <v>46</v>
      </c>
      <c r="R12">
        <v>12</v>
      </c>
      <c r="S12">
        <v>24</v>
      </c>
      <c r="T12">
        <v>1024</v>
      </c>
      <c r="U12">
        <v>260</v>
      </c>
      <c r="V12">
        <v>308928</v>
      </c>
      <c r="W12">
        <v>80</v>
      </c>
    </row>
    <row r="13" spans="1:23" x14ac:dyDescent="0.2">
      <c r="A13" t="s">
        <v>45</v>
      </c>
      <c r="B13" t="s">
        <v>157</v>
      </c>
      <c r="C13">
        <v>11.756438016891479</v>
      </c>
      <c r="D13">
        <v>280</v>
      </c>
      <c r="E13">
        <v>429</v>
      </c>
      <c r="F13">
        <v>7</v>
      </c>
      <c r="G13">
        <v>7</v>
      </c>
      <c r="H13">
        <v>42.617021276595743</v>
      </c>
      <c r="I13">
        <v>1.128571428571429</v>
      </c>
      <c r="J13">
        <v>1.6808510638297871</v>
      </c>
      <c r="K13">
        <v>1.4893617021276599</v>
      </c>
      <c r="L13">
        <v>6.7142857142857144</v>
      </c>
      <c r="M13">
        <v>841</v>
      </c>
      <c r="N13">
        <v>2</v>
      </c>
      <c r="O13">
        <v>2</v>
      </c>
      <c r="P13">
        <v>70</v>
      </c>
      <c r="Q13">
        <v>47</v>
      </c>
      <c r="R13">
        <v>7</v>
      </c>
      <c r="S13">
        <v>14</v>
      </c>
      <c r="T13">
        <v>579</v>
      </c>
      <c r="U13">
        <v>85</v>
      </c>
      <c r="V13">
        <v>2003</v>
      </c>
      <c r="W13">
        <v>79</v>
      </c>
    </row>
    <row r="14" spans="1:23" x14ac:dyDescent="0.2">
      <c r="A14" t="s">
        <v>46</v>
      </c>
      <c r="B14" t="s">
        <v>157</v>
      </c>
      <c r="C14">
        <v>208.6567368507385</v>
      </c>
      <c r="D14">
        <v>3575</v>
      </c>
      <c r="E14">
        <v>3098</v>
      </c>
      <c r="F14">
        <v>10</v>
      </c>
      <c r="G14">
        <v>62</v>
      </c>
      <c r="H14">
        <v>297.83703703703702</v>
      </c>
      <c r="I14">
        <v>1.0718283582089549</v>
      </c>
      <c r="J14">
        <v>2.1277777777777782</v>
      </c>
      <c r="K14">
        <v>1.9851851851851849</v>
      </c>
      <c r="L14">
        <v>8.7096774193548381</v>
      </c>
      <c r="M14">
        <v>5041</v>
      </c>
      <c r="N14">
        <v>2</v>
      </c>
      <c r="O14">
        <v>3</v>
      </c>
      <c r="P14">
        <v>1072</v>
      </c>
      <c r="Q14">
        <v>540</v>
      </c>
      <c r="R14">
        <v>62</v>
      </c>
      <c r="S14">
        <v>19</v>
      </c>
      <c r="T14">
        <v>9111</v>
      </c>
      <c r="U14">
        <v>992</v>
      </c>
      <c r="V14">
        <v>160832</v>
      </c>
      <c r="W14">
        <v>1149</v>
      </c>
    </row>
    <row r="15" spans="1:23" x14ac:dyDescent="0.2">
      <c r="A15" t="s">
        <v>47</v>
      </c>
      <c r="B15" t="s">
        <v>157</v>
      </c>
      <c r="C15">
        <v>92.945230722427368</v>
      </c>
      <c r="D15">
        <v>738</v>
      </c>
      <c r="E15">
        <v>9168</v>
      </c>
      <c r="F15">
        <v>6</v>
      </c>
      <c r="G15">
        <v>6</v>
      </c>
      <c r="H15">
        <v>53895.928571428572</v>
      </c>
      <c r="I15">
        <v>1.166666666666667</v>
      </c>
      <c r="J15">
        <v>2.5</v>
      </c>
      <c r="K15">
        <v>2.1428571428571428</v>
      </c>
      <c r="L15">
        <v>4.666666666666667</v>
      </c>
      <c r="M15">
        <v>1419857</v>
      </c>
      <c r="N15">
        <v>5</v>
      </c>
      <c r="O15">
        <v>5</v>
      </c>
      <c r="P15">
        <v>60</v>
      </c>
      <c r="Q15">
        <v>28</v>
      </c>
      <c r="R15">
        <v>6</v>
      </c>
      <c r="S15">
        <v>10</v>
      </c>
      <c r="T15">
        <v>210</v>
      </c>
      <c r="U15">
        <v>40</v>
      </c>
      <c r="V15">
        <v>1509086</v>
      </c>
      <c r="W15">
        <v>70</v>
      </c>
    </row>
    <row r="16" spans="1:23" x14ac:dyDescent="0.2">
      <c r="A16" t="s">
        <v>54</v>
      </c>
      <c r="B16" t="s">
        <v>157</v>
      </c>
      <c r="C16">
        <v>1.8088793754577639</v>
      </c>
      <c r="D16">
        <v>95</v>
      </c>
      <c r="E16">
        <v>82</v>
      </c>
      <c r="F16">
        <v>5</v>
      </c>
      <c r="G16">
        <v>5</v>
      </c>
      <c r="H16">
        <v>6.7853100176612997E+18</v>
      </c>
      <c r="I16">
        <v>1.219512195121951</v>
      </c>
      <c r="J16">
        <v>1.666666666666667</v>
      </c>
      <c r="K16">
        <v>1.3666666666666669</v>
      </c>
      <c r="L16">
        <v>6</v>
      </c>
      <c r="M16">
        <v>2.0337025628949099E+20</v>
      </c>
      <c r="N16">
        <v>2</v>
      </c>
      <c r="O16">
        <v>2</v>
      </c>
      <c r="P16">
        <v>41</v>
      </c>
      <c r="Q16">
        <v>30</v>
      </c>
      <c r="R16">
        <v>5</v>
      </c>
      <c r="S16">
        <v>8</v>
      </c>
      <c r="T16">
        <v>190</v>
      </c>
      <c r="U16">
        <v>27</v>
      </c>
      <c r="V16">
        <v>2.0355930052983901E+20</v>
      </c>
      <c r="W16">
        <v>50</v>
      </c>
    </row>
    <row r="17" spans="1:23" x14ac:dyDescent="0.2">
      <c r="A17" t="s">
        <v>56</v>
      </c>
      <c r="B17" t="s">
        <v>157</v>
      </c>
      <c r="C17">
        <v>418.12566995620728</v>
      </c>
      <c r="D17">
        <v>3518</v>
      </c>
      <c r="E17">
        <v>3573</v>
      </c>
      <c r="F17">
        <v>10</v>
      </c>
      <c r="G17">
        <v>10</v>
      </c>
      <c r="H17">
        <v>34969370.466666669</v>
      </c>
      <c r="I17">
        <v>0.9555555555555556</v>
      </c>
      <c r="J17">
        <v>1.4333333333333329</v>
      </c>
      <c r="K17">
        <v>1.5</v>
      </c>
      <c r="L17">
        <v>3</v>
      </c>
      <c r="M17">
        <v>100000000</v>
      </c>
      <c r="N17">
        <v>1</v>
      </c>
      <c r="O17">
        <v>4</v>
      </c>
      <c r="P17">
        <v>45</v>
      </c>
      <c r="Q17">
        <v>30</v>
      </c>
      <c r="R17">
        <v>10</v>
      </c>
      <c r="S17">
        <v>10</v>
      </c>
      <c r="T17">
        <v>257</v>
      </c>
      <c r="U17">
        <v>68</v>
      </c>
      <c r="V17">
        <v>1049081114</v>
      </c>
      <c r="W17">
        <v>43</v>
      </c>
    </row>
    <row r="18" spans="1:23" x14ac:dyDescent="0.2">
      <c r="A18" t="s">
        <v>57</v>
      </c>
      <c r="B18" t="s">
        <v>157</v>
      </c>
      <c r="C18">
        <v>2.0171360969543461</v>
      </c>
      <c r="D18">
        <v>62</v>
      </c>
      <c r="E18">
        <v>266</v>
      </c>
      <c r="F18">
        <v>5</v>
      </c>
      <c r="G18">
        <v>4</v>
      </c>
      <c r="H18">
        <v>540.88235294117646</v>
      </c>
      <c r="I18">
        <v>1.48</v>
      </c>
      <c r="J18">
        <v>2.1764705882352939</v>
      </c>
      <c r="K18">
        <v>1.470588235294118</v>
      </c>
      <c r="L18">
        <v>4.25</v>
      </c>
      <c r="M18">
        <v>6859</v>
      </c>
      <c r="N18">
        <v>3</v>
      </c>
      <c r="O18">
        <v>3</v>
      </c>
      <c r="P18">
        <v>25</v>
      </c>
      <c r="Q18">
        <v>17</v>
      </c>
      <c r="R18">
        <v>4</v>
      </c>
      <c r="S18">
        <v>11</v>
      </c>
      <c r="T18">
        <v>150</v>
      </c>
      <c r="U18">
        <v>31</v>
      </c>
      <c r="V18">
        <v>9195</v>
      </c>
      <c r="W18">
        <v>37</v>
      </c>
    </row>
    <row r="19" spans="1:23" x14ac:dyDescent="0.2">
      <c r="A19" t="s">
        <v>61</v>
      </c>
      <c r="B19" t="s">
        <v>157</v>
      </c>
      <c r="C19">
        <v>1503.4183466434481</v>
      </c>
      <c r="D19">
        <v>25307</v>
      </c>
      <c r="E19">
        <v>104800</v>
      </c>
      <c r="F19">
        <v>11</v>
      </c>
      <c r="G19">
        <v>11</v>
      </c>
      <c r="H19">
        <v>46.223684210526322</v>
      </c>
      <c r="I19">
        <v>0.99236641221374045</v>
      </c>
      <c r="J19">
        <v>1.7105263157894739</v>
      </c>
      <c r="K19">
        <v>1.7236842105263159</v>
      </c>
      <c r="L19">
        <v>6.9090909090909092</v>
      </c>
      <c r="M19">
        <v>79</v>
      </c>
      <c r="N19">
        <v>1</v>
      </c>
      <c r="O19">
        <v>3</v>
      </c>
      <c r="P19">
        <v>131</v>
      </c>
      <c r="Q19">
        <v>76</v>
      </c>
      <c r="R19">
        <v>11</v>
      </c>
      <c r="S19">
        <v>11</v>
      </c>
      <c r="T19">
        <v>706</v>
      </c>
      <c r="U19">
        <v>91</v>
      </c>
      <c r="V19">
        <v>3513</v>
      </c>
      <c r="W19">
        <v>130</v>
      </c>
    </row>
    <row r="20" spans="1:23" x14ac:dyDescent="0.2">
      <c r="A20" t="s">
        <v>63</v>
      </c>
      <c r="B20" t="s">
        <v>157</v>
      </c>
      <c r="C20">
        <v>632.48327088356018</v>
      </c>
      <c r="D20">
        <v>758</v>
      </c>
      <c r="E20">
        <v>2958</v>
      </c>
      <c r="F20">
        <v>7</v>
      </c>
      <c r="G20">
        <v>6</v>
      </c>
      <c r="H20">
        <v>5351.6296296296296</v>
      </c>
      <c r="I20">
        <v>1.305555555555556</v>
      </c>
      <c r="J20">
        <v>1.7407407407407409</v>
      </c>
      <c r="K20">
        <v>1.333333333333333</v>
      </c>
      <c r="L20">
        <v>4.5</v>
      </c>
      <c r="M20">
        <v>79507</v>
      </c>
      <c r="N20">
        <v>3</v>
      </c>
      <c r="O20">
        <v>2</v>
      </c>
      <c r="P20">
        <v>36</v>
      </c>
      <c r="Q20">
        <v>27</v>
      </c>
      <c r="R20">
        <v>6</v>
      </c>
      <c r="S20">
        <v>15</v>
      </c>
      <c r="T20">
        <v>358</v>
      </c>
      <c r="U20">
        <v>69</v>
      </c>
      <c r="V20">
        <v>144494</v>
      </c>
      <c r="W20">
        <v>47</v>
      </c>
    </row>
    <row r="21" spans="1:23" x14ac:dyDescent="0.2">
      <c r="A21" t="s">
        <v>65</v>
      </c>
      <c r="B21" t="s">
        <v>157</v>
      </c>
      <c r="C21">
        <v>1.0833902359008789</v>
      </c>
      <c r="D21">
        <v>94</v>
      </c>
      <c r="E21">
        <v>55</v>
      </c>
      <c r="F21">
        <v>6</v>
      </c>
      <c r="G21">
        <v>6</v>
      </c>
      <c r="H21">
        <v>11.574999999999999</v>
      </c>
      <c r="I21">
        <v>1.1953125</v>
      </c>
      <c r="J21">
        <v>1.9125000000000001</v>
      </c>
      <c r="K21">
        <v>1.6</v>
      </c>
      <c r="L21">
        <v>13.33333333333333</v>
      </c>
      <c r="M21">
        <v>31</v>
      </c>
      <c r="N21">
        <v>2</v>
      </c>
      <c r="O21">
        <v>2</v>
      </c>
      <c r="P21">
        <v>128</v>
      </c>
      <c r="Q21">
        <v>80</v>
      </c>
      <c r="R21">
        <v>6</v>
      </c>
      <c r="S21">
        <v>7</v>
      </c>
      <c r="T21">
        <v>407</v>
      </c>
      <c r="U21">
        <v>26</v>
      </c>
      <c r="V21">
        <v>926</v>
      </c>
      <c r="W21">
        <v>153</v>
      </c>
    </row>
    <row r="22" spans="1:23" x14ac:dyDescent="0.2">
      <c r="A22" t="s">
        <v>67</v>
      </c>
      <c r="B22" t="s">
        <v>157</v>
      </c>
      <c r="C22">
        <v>2.1955502033233638</v>
      </c>
      <c r="D22">
        <v>318</v>
      </c>
      <c r="E22">
        <v>635</v>
      </c>
      <c r="F22">
        <v>10</v>
      </c>
      <c r="G22">
        <v>9</v>
      </c>
      <c r="H22">
        <v>7.0270270270270272</v>
      </c>
      <c r="I22">
        <v>1</v>
      </c>
      <c r="J22">
        <v>1.486486486486486</v>
      </c>
      <c r="K22">
        <v>1.486486486486486</v>
      </c>
      <c r="L22">
        <v>8.2222222222222214</v>
      </c>
      <c r="M22">
        <v>71</v>
      </c>
      <c r="N22">
        <v>1</v>
      </c>
      <c r="O22">
        <v>2</v>
      </c>
      <c r="P22">
        <v>110</v>
      </c>
      <c r="Q22">
        <v>74</v>
      </c>
      <c r="R22">
        <v>9</v>
      </c>
      <c r="S22">
        <v>10</v>
      </c>
      <c r="T22">
        <v>630</v>
      </c>
      <c r="U22">
        <v>74</v>
      </c>
      <c r="V22">
        <v>520</v>
      </c>
      <c r="W22">
        <v>110</v>
      </c>
    </row>
    <row r="23" spans="1:23" x14ac:dyDescent="0.2">
      <c r="A23" t="s">
        <v>69</v>
      </c>
      <c r="B23" t="s">
        <v>157</v>
      </c>
      <c r="C23">
        <v>8.5817973613739014</v>
      </c>
      <c r="D23">
        <v>501</v>
      </c>
      <c r="E23">
        <v>364</v>
      </c>
      <c r="F23">
        <v>10</v>
      </c>
      <c r="G23">
        <v>10</v>
      </c>
      <c r="H23">
        <v>69.525000000000006</v>
      </c>
      <c r="I23">
        <v>1</v>
      </c>
      <c r="J23">
        <v>1.55</v>
      </c>
      <c r="K23">
        <v>1.55</v>
      </c>
      <c r="L23">
        <v>4</v>
      </c>
      <c r="M23">
        <v>595</v>
      </c>
      <c r="N23">
        <v>1</v>
      </c>
      <c r="O23">
        <v>2</v>
      </c>
      <c r="P23">
        <v>62</v>
      </c>
      <c r="Q23">
        <v>40</v>
      </c>
      <c r="R23">
        <v>10</v>
      </c>
      <c r="S23">
        <v>10</v>
      </c>
      <c r="T23">
        <v>338</v>
      </c>
      <c r="U23">
        <v>82</v>
      </c>
      <c r="V23">
        <v>2781</v>
      </c>
      <c r="W23">
        <v>62</v>
      </c>
    </row>
    <row r="24" spans="1:23" x14ac:dyDescent="0.2">
      <c r="A24" t="s">
        <v>70</v>
      </c>
      <c r="B24" t="s">
        <v>157</v>
      </c>
      <c r="C24">
        <v>361.55200743675232</v>
      </c>
      <c r="D24">
        <v>3517</v>
      </c>
      <c r="E24">
        <v>3571</v>
      </c>
      <c r="F24">
        <v>12</v>
      </c>
      <c r="G24">
        <v>10</v>
      </c>
      <c r="H24">
        <v>34969370.466666669</v>
      </c>
      <c r="I24">
        <v>0.9555555555555556</v>
      </c>
      <c r="J24">
        <v>1.4333333333333329</v>
      </c>
      <c r="K24">
        <v>1.5</v>
      </c>
      <c r="L24">
        <v>3</v>
      </c>
      <c r="M24">
        <v>100000000</v>
      </c>
      <c r="N24">
        <v>1</v>
      </c>
      <c r="O24">
        <v>4</v>
      </c>
      <c r="P24">
        <v>45</v>
      </c>
      <c r="Q24">
        <v>30</v>
      </c>
      <c r="R24">
        <v>10</v>
      </c>
      <c r="S24">
        <v>10</v>
      </c>
      <c r="T24">
        <v>257</v>
      </c>
      <c r="U24">
        <v>68</v>
      </c>
      <c r="V24">
        <v>1049081114</v>
      </c>
      <c r="W24">
        <v>43</v>
      </c>
    </row>
    <row r="25" spans="1:23" x14ac:dyDescent="0.2">
      <c r="A25" t="s">
        <v>78</v>
      </c>
      <c r="B25" t="s">
        <v>157</v>
      </c>
      <c r="C25">
        <v>5.853773832321167</v>
      </c>
      <c r="D25">
        <v>286</v>
      </c>
      <c r="E25">
        <v>256</v>
      </c>
      <c r="F25">
        <v>7</v>
      </c>
      <c r="G25">
        <v>7</v>
      </c>
      <c r="H25">
        <v>22.205882352941181</v>
      </c>
      <c r="I25">
        <v>1</v>
      </c>
      <c r="J25">
        <v>1.8529411764705881</v>
      </c>
      <c r="K25">
        <v>1.8529411764705881</v>
      </c>
      <c r="L25">
        <v>4.8571428571428568</v>
      </c>
      <c r="M25">
        <v>41</v>
      </c>
      <c r="N25">
        <v>1</v>
      </c>
      <c r="O25">
        <v>3</v>
      </c>
      <c r="P25">
        <v>63</v>
      </c>
      <c r="Q25">
        <v>34</v>
      </c>
      <c r="R25">
        <v>7</v>
      </c>
      <c r="S25">
        <v>7</v>
      </c>
      <c r="T25">
        <v>175</v>
      </c>
      <c r="U25">
        <v>31</v>
      </c>
      <c r="V25">
        <v>755</v>
      </c>
      <c r="W25">
        <v>63</v>
      </c>
    </row>
    <row r="26" spans="1:23" x14ac:dyDescent="0.2">
      <c r="A26" t="s">
        <v>80</v>
      </c>
      <c r="B26" t="s">
        <v>157</v>
      </c>
      <c r="C26">
        <v>5.5093488693237296</v>
      </c>
      <c r="D26">
        <v>199</v>
      </c>
      <c r="E26">
        <v>388</v>
      </c>
      <c r="F26">
        <v>7</v>
      </c>
      <c r="G26">
        <v>7</v>
      </c>
      <c r="H26">
        <v>10.69090909090909</v>
      </c>
      <c r="I26">
        <v>1.653846153846154</v>
      </c>
      <c r="J26">
        <v>2.3454545454545448</v>
      </c>
      <c r="K26">
        <v>1.418181818181818</v>
      </c>
      <c r="L26">
        <v>7.8571428571428568</v>
      </c>
      <c r="M26">
        <v>43</v>
      </c>
      <c r="N26">
        <v>4</v>
      </c>
      <c r="O26">
        <v>4</v>
      </c>
      <c r="P26">
        <v>78</v>
      </c>
      <c r="Q26">
        <v>55</v>
      </c>
      <c r="R26">
        <v>7</v>
      </c>
      <c r="S26">
        <v>14</v>
      </c>
      <c r="T26">
        <v>641</v>
      </c>
      <c r="U26">
        <v>74</v>
      </c>
      <c r="V26">
        <v>588</v>
      </c>
      <c r="W26">
        <v>129</v>
      </c>
    </row>
    <row r="27" spans="1:23" x14ac:dyDescent="0.2">
      <c r="A27" t="s">
        <v>84</v>
      </c>
      <c r="B27" t="s">
        <v>157</v>
      </c>
      <c r="C27">
        <v>6.5287718772888184</v>
      </c>
      <c r="D27">
        <v>0</v>
      </c>
      <c r="E27">
        <v>442</v>
      </c>
      <c r="F27">
        <v>4</v>
      </c>
      <c r="G27">
        <v>4</v>
      </c>
      <c r="H27">
        <v>141736.80769230769</v>
      </c>
      <c r="I27">
        <v>1.576271186440678</v>
      </c>
      <c r="J27">
        <v>3.5769230769230771</v>
      </c>
      <c r="K27">
        <v>2.2692307692307692</v>
      </c>
      <c r="L27">
        <v>13</v>
      </c>
      <c r="M27">
        <v>2985984</v>
      </c>
      <c r="N27">
        <v>3</v>
      </c>
      <c r="O27">
        <v>3</v>
      </c>
      <c r="P27">
        <v>118</v>
      </c>
      <c r="Q27">
        <v>52</v>
      </c>
      <c r="R27">
        <v>4</v>
      </c>
      <c r="S27">
        <v>12</v>
      </c>
      <c r="T27">
        <v>438</v>
      </c>
      <c r="U27">
        <v>26</v>
      </c>
      <c r="V27">
        <v>7370314</v>
      </c>
      <c r="W27">
        <v>186</v>
      </c>
    </row>
    <row r="28" spans="1:23" x14ac:dyDescent="0.2">
      <c r="A28" t="s">
        <v>85</v>
      </c>
      <c r="B28" t="s">
        <v>157</v>
      </c>
      <c r="C28">
        <v>264.23957180976868</v>
      </c>
      <c r="D28">
        <v>6219</v>
      </c>
      <c r="E28">
        <v>17030</v>
      </c>
      <c r="F28">
        <v>9</v>
      </c>
      <c r="G28">
        <v>9</v>
      </c>
      <c r="H28">
        <v>157763.8095238095</v>
      </c>
      <c r="I28">
        <v>1.4683544303797471</v>
      </c>
      <c r="J28">
        <v>2.7619047619047619</v>
      </c>
      <c r="K28">
        <v>1.8809523809523809</v>
      </c>
      <c r="L28">
        <v>4.666666666666667</v>
      </c>
      <c r="M28">
        <v>1000000</v>
      </c>
      <c r="N28">
        <v>2</v>
      </c>
      <c r="O28">
        <v>5</v>
      </c>
      <c r="P28">
        <v>79</v>
      </c>
      <c r="Q28">
        <v>42</v>
      </c>
      <c r="R28">
        <v>9</v>
      </c>
      <c r="S28">
        <v>18</v>
      </c>
      <c r="T28">
        <v>640</v>
      </c>
      <c r="U28">
        <v>133</v>
      </c>
      <c r="V28">
        <v>6626080</v>
      </c>
      <c r="W28">
        <v>116</v>
      </c>
    </row>
    <row r="29" spans="1:23" x14ac:dyDescent="0.2">
      <c r="A29" t="s">
        <v>86</v>
      </c>
      <c r="B29" t="s">
        <v>157</v>
      </c>
      <c r="C29">
        <v>10.145428895950319</v>
      </c>
      <c r="D29">
        <v>558</v>
      </c>
      <c r="E29">
        <v>334</v>
      </c>
      <c r="F29">
        <v>10</v>
      </c>
      <c r="G29">
        <v>10</v>
      </c>
      <c r="H29">
        <v>152.67500000000001</v>
      </c>
      <c r="I29">
        <v>1</v>
      </c>
      <c r="J29">
        <v>1.55</v>
      </c>
      <c r="K29">
        <v>1.55</v>
      </c>
      <c r="L29">
        <v>4</v>
      </c>
      <c r="M29">
        <v>855</v>
      </c>
      <c r="N29">
        <v>1</v>
      </c>
      <c r="O29">
        <v>2</v>
      </c>
      <c r="P29">
        <v>62</v>
      </c>
      <c r="Q29">
        <v>40</v>
      </c>
      <c r="R29">
        <v>10</v>
      </c>
      <c r="S29">
        <v>10</v>
      </c>
      <c r="T29">
        <v>338</v>
      </c>
      <c r="U29">
        <v>82</v>
      </c>
      <c r="V29">
        <v>6107</v>
      </c>
      <c r="W29">
        <v>62</v>
      </c>
    </row>
    <row r="30" spans="1:23" x14ac:dyDescent="0.2">
      <c r="A30" t="s">
        <v>91</v>
      </c>
      <c r="B30" t="s">
        <v>157</v>
      </c>
      <c r="C30">
        <v>92.792263507843018</v>
      </c>
      <c r="D30">
        <v>719</v>
      </c>
      <c r="E30">
        <v>1751</v>
      </c>
      <c r="F30">
        <v>8</v>
      </c>
      <c r="G30">
        <v>8</v>
      </c>
      <c r="H30">
        <v>67.816666666666663</v>
      </c>
      <c r="I30">
        <v>1.119565217391304</v>
      </c>
      <c r="J30">
        <v>1.716666666666667</v>
      </c>
      <c r="K30">
        <v>1.533333333333333</v>
      </c>
      <c r="L30">
        <v>7.5</v>
      </c>
      <c r="M30">
        <v>1369</v>
      </c>
      <c r="N30">
        <v>2</v>
      </c>
      <c r="O30">
        <v>2</v>
      </c>
      <c r="P30">
        <v>92</v>
      </c>
      <c r="Q30">
        <v>60</v>
      </c>
      <c r="R30">
        <v>8</v>
      </c>
      <c r="S30">
        <v>16</v>
      </c>
      <c r="T30">
        <v>857</v>
      </c>
      <c r="U30">
        <v>113</v>
      </c>
      <c r="V30">
        <v>4069</v>
      </c>
      <c r="W30">
        <v>103</v>
      </c>
    </row>
    <row r="31" spans="1:23" x14ac:dyDescent="0.2">
      <c r="A31" t="s">
        <v>93</v>
      </c>
      <c r="B31" t="s">
        <v>157</v>
      </c>
      <c r="C31">
        <v>284.36823749542242</v>
      </c>
      <c r="D31">
        <v>1906</v>
      </c>
      <c r="E31">
        <v>18066</v>
      </c>
      <c r="F31">
        <v>13</v>
      </c>
      <c r="G31">
        <v>12</v>
      </c>
      <c r="H31">
        <v>639.46938775510205</v>
      </c>
      <c r="I31">
        <v>1.104166666666667</v>
      </c>
      <c r="J31">
        <v>2.1632653061224492</v>
      </c>
      <c r="K31">
        <v>1.9591836734693879</v>
      </c>
      <c r="L31">
        <v>8.1666666666666661</v>
      </c>
      <c r="M31">
        <v>10201</v>
      </c>
      <c r="N31">
        <v>3</v>
      </c>
      <c r="O31">
        <v>3</v>
      </c>
      <c r="P31">
        <v>192</v>
      </c>
      <c r="Q31">
        <v>98</v>
      </c>
      <c r="R31">
        <v>12</v>
      </c>
      <c r="S31">
        <v>15</v>
      </c>
      <c r="T31">
        <v>1258</v>
      </c>
      <c r="U31">
        <v>156</v>
      </c>
      <c r="V31">
        <v>62668</v>
      </c>
      <c r="W31">
        <v>212</v>
      </c>
    </row>
    <row r="32" spans="1:23" x14ac:dyDescent="0.2">
      <c r="A32" t="s">
        <v>94</v>
      </c>
      <c r="B32" t="s">
        <v>157</v>
      </c>
      <c r="C32">
        <v>16.56342720985413</v>
      </c>
      <c r="D32">
        <v>415</v>
      </c>
      <c r="E32">
        <v>1960</v>
      </c>
      <c r="F32">
        <v>7</v>
      </c>
      <c r="G32">
        <v>6</v>
      </c>
      <c r="H32">
        <v>22</v>
      </c>
      <c r="I32">
        <v>1.061728395061728</v>
      </c>
      <c r="J32">
        <v>2.6875</v>
      </c>
      <c r="K32">
        <v>2.53125</v>
      </c>
      <c r="L32">
        <v>5.333333333333333</v>
      </c>
      <c r="M32">
        <v>37</v>
      </c>
      <c r="N32">
        <v>6</v>
      </c>
      <c r="O32">
        <v>6</v>
      </c>
      <c r="P32">
        <v>81</v>
      </c>
      <c r="Q32">
        <v>32</v>
      </c>
      <c r="R32">
        <v>6</v>
      </c>
      <c r="S32">
        <v>11</v>
      </c>
      <c r="T32">
        <v>266</v>
      </c>
      <c r="U32">
        <v>40</v>
      </c>
      <c r="V32">
        <v>704</v>
      </c>
      <c r="W32">
        <v>86</v>
      </c>
    </row>
    <row r="33" spans="1:23" x14ac:dyDescent="0.2">
      <c r="A33" t="s">
        <v>95</v>
      </c>
      <c r="B33" t="s">
        <v>157</v>
      </c>
      <c r="C33">
        <v>66.390982389450073</v>
      </c>
      <c r="D33">
        <v>348</v>
      </c>
      <c r="E33">
        <v>2588</v>
      </c>
      <c r="F33">
        <v>5</v>
      </c>
      <c r="G33">
        <v>5</v>
      </c>
      <c r="H33">
        <v>1835.6173913043481</v>
      </c>
      <c r="I33">
        <v>1.657142857142857</v>
      </c>
      <c r="J33">
        <v>2.5217391304347831</v>
      </c>
      <c r="K33">
        <v>1.5217391304347829</v>
      </c>
      <c r="L33">
        <v>23</v>
      </c>
      <c r="M33">
        <v>24389</v>
      </c>
      <c r="N33">
        <v>3</v>
      </c>
      <c r="O33">
        <v>2</v>
      </c>
      <c r="P33">
        <v>175</v>
      </c>
      <c r="Q33">
        <v>115</v>
      </c>
      <c r="R33">
        <v>5</v>
      </c>
      <c r="S33">
        <v>15</v>
      </c>
      <c r="T33">
        <v>1435</v>
      </c>
      <c r="U33">
        <v>60</v>
      </c>
      <c r="V33">
        <v>211096</v>
      </c>
      <c r="W33">
        <v>290</v>
      </c>
    </row>
    <row r="34" spans="1:23" x14ac:dyDescent="0.2">
      <c r="A34" t="s">
        <v>100</v>
      </c>
      <c r="B34" t="s">
        <v>157</v>
      </c>
      <c r="C34">
        <v>90.958328485488892</v>
      </c>
      <c r="D34">
        <v>2581</v>
      </c>
      <c r="E34">
        <v>2360</v>
      </c>
      <c r="F34">
        <v>12</v>
      </c>
      <c r="G34">
        <v>12</v>
      </c>
      <c r="H34">
        <v>6715.826086956522</v>
      </c>
      <c r="I34">
        <v>1.1111111111111109</v>
      </c>
      <c r="J34">
        <v>1.7391304347826091</v>
      </c>
      <c r="K34">
        <v>1.5652173913043479</v>
      </c>
      <c r="L34">
        <v>3.833333333333333</v>
      </c>
      <c r="M34">
        <v>39701</v>
      </c>
      <c r="N34">
        <v>2</v>
      </c>
      <c r="O34">
        <v>5</v>
      </c>
      <c r="P34">
        <v>72</v>
      </c>
      <c r="Q34">
        <v>46</v>
      </c>
      <c r="R34">
        <v>12</v>
      </c>
      <c r="S34">
        <v>24</v>
      </c>
      <c r="T34">
        <v>1024</v>
      </c>
      <c r="U34">
        <v>260</v>
      </c>
      <c r="V34">
        <v>308928</v>
      </c>
      <c r="W34">
        <v>80</v>
      </c>
    </row>
    <row r="35" spans="1:23" x14ac:dyDescent="0.2">
      <c r="A35" t="s">
        <v>104</v>
      </c>
      <c r="B35" t="s">
        <v>157</v>
      </c>
      <c r="C35">
        <v>228.5026798248291</v>
      </c>
      <c r="D35">
        <v>1454</v>
      </c>
      <c r="E35">
        <v>7238</v>
      </c>
      <c r="F35">
        <v>8</v>
      </c>
      <c r="G35">
        <v>6</v>
      </c>
      <c r="H35">
        <v>190.0985915492958</v>
      </c>
      <c r="I35">
        <v>1.249169435215947</v>
      </c>
      <c r="J35">
        <v>2.647887323943662</v>
      </c>
      <c r="K35">
        <v>2.119718309859155</v>
      </c>
      <c r="L35">
        <v>23.666666666666671</v>
      </c>
      <c r="M35">
        <v>2809</v>
      </c>
      <c r="N35">
        <v>2</v>
      </c>
      <c r="O35">
        <v>3</v>
      </c>
      <c r="P35">
        <v>301</v>
      </c>
      <c r="Q35">
        <v>142</v>
      </c>
      <c r="R35">
        <v>6</v>
      </c>
      <c r="S35">
        <v>14</v>
      </c>
      <c r="T35">
        <v>1612</v>
      </c>
      <c r="U35">
        <v>67</v>
      </c>
      <c r="V35">
        <v>26994</v>
      </c>
      <c r="W35">
        <v>376</v>
      </c>
    </row>
    <row r="36" spans="1:23" x14ac:dyDescent="0.2">
      <c r="A36" t="s">
        <v>105</v>
      </c>
      <c r="B36" t="s">
        <v>157</v>
      </c>
      <c r="C36">
        <v>14.621394872665411</v>
      </c>
      <c r="D36">
        <v>306</v>
      </c>
      <c r="E36">
        <v>2192</v>
      </c>
      <c r="F36">
        <v>5</v>
      </c>
      <c r="G36">
        <v>5</v>
      </c>
      <c r="H36">
        <v>10.16666666666667</v>
      </c>
      <c r="I36">
        <v>1.444444444444444</v>
      </c>
      <c r="J36">
        <v>2.166666666666667</v>
      </c>
      <c r="K36">
        <v>1.5</v>
      </c>
      <c r="L36">
        <v>6</v>
      </c>
      <c r="M36">
        <v>11</v>
      </c>
      <c r="N36">
        <v>2</v>
      </c>
      <c r="O36">
        <v>2</v>
      </c>
      <c r="P36">
        <v>45</v>
      </c>
      <c r="Q36">
        <v>30</v>
      </c>
      <c r="R36">
        <v>5</v>
      </c>
      <c r="S36">
        <v>10</v>
      </c>
      <c r="T36">
        <v>235</v>
      </c>
      <c r="U36">
        <v>35</v>
      </c>
      <c r="V36">
        <v>305</v>
      </c>
      <c r="W36">
        <v>65</v>
      </c>
    </row>
    <row r="37" spans="1:23" x14ac:dyDescent="0.2">
      <c r="A37" t="s">
        <v>106</v>
      </c>
      <c r="B37" t="s">
        <v>157</v>
      </c>
      <c r="C37">
        <v>13.543596982955931</v>
      </c>
      <c r="D37">
        <v>273</v>
      </c>
      <c r="E37">
        <v>4122</v>
      </c>
      <c r="F37">
        <v>7</v>
      </c>
      <c r="G37">
        <v>6</v>
      </c>
      <c r="H37">
        <v>197542618.5</v>
      </c>
      <c r="I37">
        <v>1.0515463917525769</v>
      </c>
      <c r="J37">
        <v>3.1875</v>
      </c>
      <c r="K37">
        <v>3.03125</v>
      </c>
      <c r="L37">
        <v>5.333333333333333</v>
      </c>
      <c r="M37">
        <v>6321363049</v>
      </c>
      <c r="N37">
        <v>6</v>
      </c>
      <c r="O37">
        <v>6</v>
      </c>
      <c r="P37">
        <v>97</v>
      </c>
      <c r="Q37">
        <v>32</v>
      </c>
      <c r="R37">
        <v>6</v>
      </c>
      <c r="S37">
        <v>12</v>
      </c>
      <c r="T37">
        <v>282</v>
      </c>
      <c r="U37">
        <v>51</v>
      </c>
      <c r="V37">
        <v>6321363792</v>
      </c>
      <c r="W37">
        <v>102</v>
      </c>
    </row>
    <row r="38" spans="1:23" x14ac:dyDescent="0.2">
      <c r="A38" t="s">
        <v>108</v>
      </c>
      <c r="B38" t="s">
        <v>157</v>
      </c>
      <c r="C38">
        <v>365.64800071716309</v>
      </c>
      <c r="D38">
        <v>1884</v>
      </c>
      <c r="E38">
        <v>3405</v>
      </c>
      <c r="F38">
        <v>8</v>
      </c>
      <c r="G38">
        <v>8</v>
      </c>
      <c r="H38">
        <v>902.17475728155341</v>
      </c>
      <c r="I38">
        <v>1.041450777202072</v>
      </c>
      <c r="J38">
        <v>1.9514563106796119</v>
      </c>
      <c r="K38">
        <v>1.8737864077669899</v>
      </c>
      <c r="L38">
        <v>12.875</v>
      </c>
      <c r="M38">
        <v>9899</v>
      </c>
      <c r="N38">
        <v>2</v>
      </c>
      <c r="O38">
        <v>3</v>
      </c>
      <c r="P38">
        <v>193</v>
      </c>
      <c r="Q38">
        <v>103</v>
      </c>
      <c r="R38">
        <v>8</v>
      </c>
      <c r="S38">
        <v>16</v>
      </c>
      <c r="T38">
        <v>1447</v>
      </c>
      <c r="U38">
        <v>109</v>
      </c>
      <c r="V38">
        <v>92924</v>
      </c>
      <c r="W38">
        <v>201</v>
      </c>
    </row>
    <row r="39" spans="1:23" x14ac:dyDescent="0.2">
      <c r="A39" t="s">
        <v>109</v>
      </c>
      <c r="B39" t="s">
        <v>158</v>
      </c>
      <c r="C39" t="s">
        <v>159</v>
      </c>
      <c r="D39" t="s">
        <v>159</v>
      </c>
      <c r="E39" t="s">
        <v>159</v>
      </c>
      <c r="F39" t="s">
        <v>159</v>
      </c>
      <c r="G39" t="s">
        <v>159</v>
      </c>
      <c r="H39" t="s">
        <v>159</v>
      </c>
      <c r="I39" t="s">
        <v>159</v>
      </c>
      <c r="J39" t="s">
        <v>159</v>
      </c>
      <c r="K39" t="s">
        <v>159</v>
      </c>
      <c r="L39" t="s">
        <v>159</v>
      </c>
      <c r="M39" t="s">
        <v>159</v>
      </c>
      <c r="N39" t="s">
        <v>159</v>
      </c>
      <c r="O39" t="s">
        <v>159</v>
      </c>
      <c r="P39" t="s">
        <v>159</v>
      </c>
      <c r="Q39" t="s">
        <v>159</v>
      </c>
      <c r="R39" t="s">
        <v>159</v>
      </c>
      <c r="S39" t="s">
        <v>159</v>
      </c>
      <c r="T39" t="s">
        <v>159</v>
      </c>
      <c r="U39" t="s">
        <v>159</v>
      </c>
      <c r="V39" t="s">
        <v>159</v>
      </c>
      <c r="W39" t="s">
        <v>159</v>
      </c>
    </row>
    <row r="40" spans="1:23" x14ac:dyDescent="0.2">
      <c r="A40" t="s">
        <v>110</v>
      </c>
      <c r="B40" t="s">
        <v>157</v>
      </c>
      <c r="C40">
        <v>312.06827068328857</v>
      </c>
      <c r="D40">
        <v>2324</v>
      </c>
      <c r="E40">
        <v>3758</v>
      </c>
      <c r="F40">
        <v>9</v>
      </c>
      <c r="G40">
        <v>9</v>
      </c>
      <c r="H40">
        <v>32.660377358490557</v>
      </c>
      <c r="I40">
        <v>1</v>
      </c>
      <c r="J40">
        <v>2.0377358490566042</v>
      </c>
      <c r="K40">
        <v>2.0377358490566042</v>
      </c>
      <c r="L40">
        <v>5.8888888888888893</v>
      </c>
      <c r="M40">
        <v>59</v>
      </c>
      <c r="N40">
        <v>1</v>
      </c>
      <c r="O40">
        <v>3</v>
      </c>
      <c r="P40">
        <v>108</v>
      </c>
      <c r="Q40">
        <v>53</v>
      </c>
      <c r="R40">
        <v>9</v>
      </c>
      <c r="S40">
        <v>9</v>
      </c>
      <c r="T40">
        <v>369</v>
      </c>
      <c r="U40">
        <v>57</v>
      </c>
      <c r="V40">
        <v>1731</v>
      </c>
      <c r="W40">
        <v>108</v>
      </c>
    </row>
    <row r="41" spans="1:23" x14ac:dyDescent="0.2">
      <c r="A41" t="s">
        <v>112</v>
      </c>
      <c r="B41" t="s">
        <v>157</v>
      </c>
      <c r="C41">
        <v>181.38168931007391</v>
      </c>
      <c r="D41">
        <v>1218</v>
      </c>
      <c r="E41">
        <v>1078</v>
      </c>
      <c r="F41">
        <v>9</v>
      </c>
      <c r="G41">
        <v>9</v>
      </c>
      <c r="H41">
        <v>58996447832941.812</v>
      </c>
      <c r="I41">
        <v>1.05521472392638</v>
      </c>
      <c r="J41">
        <v>1.6699029126213589</v>
      </c>
      <c r="K41">
        <v>1.5825242718446599</v>
      </c>
      <c r="L41">
        <v>11.444444444444439</v>
      </c>
      <c r="M41">
        <v>1212982689600000</v>
      </c>
      <c r="N41">
        <v>2</v>
      </c>
      <c r="O41">
        <v>3</v>
      </c>
      <c r="P41">
        <v>163</v>
      </c>
      <c r="Q41">
        <v>103</v>
      </c>
      <c r="R41">
        <v>9</v>
      </c>
      <c r="S41">
        <v>18</v>
      </c>
      <c r="T41">
        <v>1682</v>
      </c>
      <c r="U41">
        <v>143</v>
      </c>
      <c r="V41">
        <v>6076634126793007</v>
      </c>
      <c r="W41">
        <v>172</v>
      </c>
    </row>
    <row r="42" spans="1:23" x14ac:dyDescent="0.2">
      <c r="A42" t="s">
        <v>114</v>
      </c>
      <c r="B42" t="s">
        <v>157</v>
      </c>
      <c r="C42">
        <v>1.125351667404175</v>
      </c>
      <c r="D42">
        <v>4</v>
      </c>
      <c r="E42">
        <v>119</v>
      </c>
      <c r="F42">
        <v>3</v>
      </c>
      <c r="G42">
        <v>2</v>
      </c>
      <c r="H42">
        <v>2055.090909090909</v>
      </c>
      <c r="I42">
        <v>5.8636363636363633</v>
      </c>
      <c r="J42">
        <v>5.8636363636363633</v>
      </c>
      <c r="K42">
        <v>1</v>
      </c>
      <c r="L42">
        <v>11</v>
      </c>
      <c r="M42">
        <v>8085</v>
      </c>
      <c r="N42">
        <v>11</v>
      </c>
      <c r="O42">
        <v>1</v>
      </c>
      <c r="P42">
        <v>22</v>
      </c>
      <c r="Q42">
        <v>22</v>
      </c>
      <c r="R42">
        <v>2</v>
      </c>
      <c r="S42">
        <v>13</v>
      </c>
      <c r="T42">
        <v>157</v>
      </c>
      <c r="U42">
        <v>4</v>
      </c>
      <c r="V42">
        <v>45212</v>
      </c>
      <c r="W42">
        <v>129</v>
      </c>
    </row>
    <row r="43" spans="1:23" x14ac:dyDescent="0.2">
      <c r="A43" t="s">
        <v>116</v>
      </c>
      <c r="B43" t="s">
        <v>157</v>
      </c>
      <c r="C43">
        <v>6.1638500690460214</v>
      </c>
      <c r="D43">
        <v>275</v>
      </c>
      <c r="E43">
        <v>377</v>
      </c>
      <c r="F43">
        <v>8</v>
      </c>
      <c r="G43">
        <v>8</v>
      </c>
      <c r="H43">
        <v>52.666666666666657</v>
      </c>
      <c r="I43">
        <v>1.053191489361702</v>
      </c>
      <c r="J43">
        <v>1.9411764705882351</v>
      </c>
      <c r="K43">
        <v>1.8431372549019609</v>
      </c>
      <c r="L43">
        <v>6.375</v>
      </c>
      <c r="M43">
        <v>284</v>
      </c>
      <c r="N43">
        <v>2</v>
      </c>
      <c r="O43">
        <v>3</v>
      </c>
      <c r="P43">
        <v>94</v>
      </c>
      <c r="Q43">
        <v>51</v>
      </c>
      <c r="R43">
        <v>8</v>
      </c>
      <c r="S43">
        <v>9</v>
      </c>
      <c r="T43">
        <v>360</v>
      </c>
      <c r="U43">
        <v>54</v>
      </c>
      <c r="V43">
        <v>2686</v>
      </c>
      <c r="W43">
        <v>99</v>
      </c>
    </row>
    <row r="44" spans="1:23" x14ac:dyDescent="0.2">
      <c r="A44" t="s">
        <v>118</v>
      </c>
      <c r="B44" t="s">
        <v>157</v>
      </c>
      <c r="C44">
        <v>6.124413013458252</v>
      </c>
      <c r="D44">
        <v>659</v>
      </c>
      <c r="E44">
        <v>1287</v>
      </c>
      <c r="F44">
        <v>8</v>
      </c>
      <c r="G44">
        <v>8</v>
      </c>
      <c r="H44">
        <v>28.511627906976749</v>
      </c>
      <c r="I44">
        <v>1</v>
      </c>
      <c r="J44">
        <v>1.4651162790697669</v>
      </c>
      <c r="K44">
        <v>1.4651162790697669</v>
      </c>
      <c r="L44">
        <v>5.375</v>
      </c>
      <c r="M44">
        <v>53</v>
      </c>
      <c r="N44">
        <v>1</v>
      </c>
      <c r="O44">
        <v>2</v>
      </c>
      <c r="P44">
        <v>63</v>
      </c>
      <c r="Q44">
        <v>43</v>
      </c>
      <c r="R44">
        <v>8</v>
      </c>
      <c r="S44">
        <v>8</v>
      </c>
      <c r="T44">
        <v>281</v>
      </c>
      <c r="U44">
        <v>50</v>
      </c>
      <c r="V44">
        <v>1226</v>
      </c>
      <c r="W44">
        <v>63</v>
      </c>
    </row>
    <row r="45" spans="1:23" x14ac:dyDescent="0.2">
      <c r="A45" t="s">
        <v>122</v>
      </c>
      <c r="B45" t="s">
        <v>157</v>
      </c>
      <c r="C45">
        <v>23.446670532226559</v>
      </c>
      <c r="D45">
        <v>568</v>
      </c>
      <c r="E45">
        <v>1322</v>
      </c>
      <c r="F45">
        <v>8</v>
      </c>
      <c r="G45">
        <v>8</v>
      </c>
      <c r="H45">
        <v>17.31666666666667</v>
      </c>
      <c r="I45">
        <v>1.590361445783133</v>
      </c>
      <c r="J45">
        <v>2.2000000000000002</v>
      </c>
      <c r="K45">
        <v>1.3833333333333331</v>
      </c>
      <c r="L45">
        <v>7.5</v>
      </c>
      <c r="M45">
        <v>332</v>
      </c>
      <c r="N45">
        <v>4</v>
      </c>
      <c r="O45">
        <v>4</v>
      </c>
      <c r="P45">
        <v>83</v>
      </c>
      <c r="Q45">
        <v>60</v>
      </c>
      <c r="R45">
        <v>8</v>
      </c>
      <c r="S45">
        <v>14</v>
      </c>
      <c r="T45">
        <v>708</v>
      </c>
      <c r="U45">
        <v>87</v>
      </c>
      <c r="V45">
        <v>1039</v>
      </c>
      <c r="W45">
        <v>132</v>
      </c>
    </row>
    <row r="46" spans="1:23" x14ac:dyDescent="0.2">
      <c r="A46" t="s">
        <v>124</v>
      </c>
      <c r="B46" t="s">
        <v>157</v>
      </c>
      <c r="C46">
        <v>517.85615158081055</v>
      </c>
      <c r="D46">
        <v>2237</v>
      </c>
      <c r="E46">
        <v>7418</v>
      </c>
      <c r="F46">
        <v>9</v>
      </c>
      <c r="G46">
        <v>9</v>
      </c>
      <c r="H46">
        <v>72.189189189189193</v>
      </c>
      <c r="I46">
        <v>1.1025641025641031</v>
      </c>
      <c r="J46">
        <v>1.743243243243243</v>
      </c>
      <c r="K46">
        <v>1.5810810810810809</v>
      </c>
      <c r="L46">
        <v>8.2222222222222214</v>
      </c>
      <c r="M46">
        <v>1681</v>
      </c>
      <c r="N46">
        <v>2</v>
      </c>
      <c r="O46">
        <v>2</v>
      </c>
      <c r="P46">
        <v>117</v>
      </c>
      <c r="Q46">
        <v>74</v>
      </c>
      <c r="R46">
        <v>9</v>
      </c>
      <c r="S46">
        <v>18</v>
      </c>
      <c r="T46">
        <v>1203</v>
      </c>
      <c r="U46">
        <v>145</v>
      </c>
      <c r="V46">
        <v>5342</v>
      </c>
      <c r="W46">
        <v>129</v>
      </c>
    </row>
    <row r="47" spans="1:23" x14ac:dyDescent="0.2">
      <c r="A47" t="s">
        <v>126</v>
      </c>
      <c r="B47" t="s">
        <v>157</v>
      </c>
      <c r="C47">
        <v>11.180777549743651</v>
      </c>
      <c r="D47">
        <v>423</v>
      </c>
      <c r="E47">
        <v>418</v>
      </c>
      <c r="F47">
        <v>9</v>
      </c>
      <c r="G47">
        <v>9</v>
      </c>
      <c r="H47">
        <v>333.90163934426232</v>
      </c>
      <c r="I47">
        <v>1.1475409836065571</v>
      </c>
      <c r="J47">
        <v>1.1475409836065571</v>
      </c>
      <c r="K47">
        <v>1</v>
      </c>
      <c r="L47">
        <v>6.7777777777777777</v>
      </c>
      <c r="M47">
        <v>3721</v>
      </c>
      <c r="N47">
        <v>2</v>
      </c>
      <c r="O47">
        <v>2</v>
      </c>
      <c r="P47">
        <v>61</v>
      </c>
      <c r="Q47">
        <v>61</v>
      </c>
      <c r="R47">
        <v>9</v>
      </c>
      <c r="S47">
        <v>18</v>
      </c>
      <c r="T47">
        <v>1028</v>
      </c>
      <c r="U47">
        <v>147</v>
      </c>
      <c r="V47">
        <v>20368</v>
      </c>
      <c r="W47">
        <v>70</v>
      </c>
    </row>
    <row r="48" spans="1:23" x14ac:dyDescent="0.2">
      <c r="A48" t="s">
        <v>127</v>
      </c>
      <c r="B48" t="s">
        <v>157</v>
      </c>
      <c r="C48">
        <v>256.68566417694092</v>
      </c>
      <c r="D48">
        <v>3234</v>
      </c>
      <c r="E48">
        <v>3337</v>
      </c>
      <c r="F48">
        <v>12</v>
      </c>
      <c r="G48">
        <v>12</v>
      </c>
      <c r="H48">
        <v>12.63265306122449</v>
      </c>
      <c r="I48">
        <v>1</v>
      </c>
      <c r="J48">
        <v>1.6326530612244901</v>
      </c>
      <c r="K48">
        <v>1.6326530612244901</v>
      </c>
      <c r="L48">
        <v>8.1666666666666661</v>
      </c>
      <c r="M48">
        <v>89</v>
      </c>
      <c r="N48">
        <v>1</v>
      </c>
      <c r="O48">
        <v>3</v>
      </c>
      <c r="P48">
        <v>160</v>
      </c>
      <c r="Q48">
        <v>98</v>
      </c>
      <c r="R48">
        <v>12</v>
      </c>
      <c r="S48">
        <v>12</v>
      </c>
      <c r="T48">
        <v>1016</v>
      </c>
      <c r="U48">
        <v>120</v>
      </c>
      <c r="V48">
        <v>1238</v>
      </c>
      <c r="W48">
        <v>160</v>
      </c>
    </row>
    <row r="49" spans="1:23" x14ac:dyDescent="0.2">
      <c r="A49" t="s">
        <v>132</v>
      </c>
      <c r="B49" t="s">
        <v>157</v>
      </c>
      <c r="C49">
        <v>1.835096597671509</v>
      </c>
      <c r="D49">
        <v>47</v>
      </c>
      <c r="E49">
        <v>191</v>
      </c>
      <c r="F49">
        <v>4</v>
      </c>
      <c r="G49">
        <v>4</v>
      </c>
      <c r="H49">
        <v>1.8</v>
      </c>
      <c r="I49">
        <v>3.5</v>
      </c>
      <c r="J49">
        <v>2.8</v>
      </c>
      <c r="K49">
        <v>0.8</v>
      </c>
      <c r="L49">
        <v>5</v>
      </c>
      <c r="M49">
        <v>2</v>
      </c>
      <c r="N49">
        <v>5</v>
      </c>
      <c r="O49">
        <v>1</v>
      </c>
      <c r="P49">
        <v>16</v>
      </c>
      <c r="Q49">
        <v>20</v>
      </c>
      <c r="R49">
        <v>4</v>
      </c>
      <c r="S49">
        <v>20</v>
      </c>
      <c r="T49">
        <v>344</v>
      </c>
      <c r="U49">
        <v>66</v>
      </c>
      <c r="V49">
        <v>36</v>
      </c>
      <c r="W49">
        <v>56</v>
      </c>
    </row>
    <row r="50" spans="1:23" x14ac:dyDescent="0.2">
      <c r="A50" t="s">
        <v>133</v>
      </c>
      <c r="B50" t="s">
        <v>157</v>
      </c>
      <c r="C50">
        <v>4.5454537868499756</v>
      </c>
      <c r="D50">
        <v>318</v>
      </c>
      <c r="E50">
        <v>73</v>
      </c>
      <c r="F50">
        <v>9</v>
      </c>
      <c r="G50">
        <v>9</v>
      </c>
      <c r="H50">
        <v>12.232558139534881</v>
      </c>
      <c r="I50">
        <v>1.671428571428571</v>
      </c>
      <c r="J50">
        <v>2.720930232558139</v>
      </c>
      <c r="K50">
        <v>1.6279069767441861</v>
      </c>
      <c r="L50">
        <v>4.7777777777777777</v>
      </c>
      <c r="M50">
        <v>50</v>
      </c>
      <c r="N50">
        <v>4</v>
      </c>
      <c r="O50">
        <v>3</v>
      </c>
      <c r="P50">
        <v>70</v>
      </c>
      <c r="Q50">
        <v>43</v>
      </c>
      <c r="R50">
        <v>9</v>
      </c>
      <c r="S50">
        <v>24</v>
      </c>
      <c r="T50">
        <v>915</v>
      </c>
      <c r="U50">
        <v>184</v>
      </c>
      <c r="V50">
        <v>526</v>
      </c>
      <c r="W50">
        <v>117</v>
      </c>
    </row>
    <row r="51" spans="1:23" x14ac:dyDescent="0.2">
      <c r="A51" t="s">
        <v>135</v>
      </c>
      <c r="B51" t="s">
        <v>157</v>
      </c>
      <c r="C51">
        <v>2461.8026030063629</v>
      </c>
      <c r="D51">
        <v>7058</v>
      </c>
      <c r="E51">
        <v>15706</v>
      </c>
      <c r="F51">
        <v>10</v>
      </c>
      <c r="G51">
        <v>10</v>
      </c>
      <c r="H51">
        <v>51.875</v>
      </c>
      <c r="I51">
        <v>0.95</v>
      </c>
      <c r="J51">
        <v>2.671875</v>
      </c>
      <c r="K51">
        <v>2.8125</v>
      </c>
      <c r="L51">
        <v>6.4</v>
      </c>
      <c r="M51">
        <v>71</v>
      </c>
      <c r="N51">
        <v>1</v>
      </c>
      <c r="O51">
        <v>4</v>
      </c>
      <c r="P51">
        <v>180</v>
      </c>
      <c r="Q51">
        <v>64</v>
      </c>
      <c r="R51">
        <v>10</v>
      </c>
      <c r="S51">
        <v>10</v>
      </c>
      <c r="T51">
        <v>469</v>
      </c>
      <c r="U51">
        <v>65</v>
      </c>
      <c r="V51">
        <v>3320</v>
      </c>
      <c r="W51">
        <v>171</v>
      </c>
    </row>
    <row r="52" spans="1:23" x14ac:dyDescent="0.2">
      <c r="A52" t="s">
        <v>137</v>
      </c>
      <c r="B52" t="s">
        <v>157</v>
      </c>
      <c r="C52">
        <v>3008.50664305687</v>
      </c>
      <c r="D52">
        <v>12766</v>
      </c>
      <c r="E52">
        <v>12761</v>
      </c>
      <c r="F52">
        <v>14</v>
      </c>
      <c r="G52">
        <v>15</v>
      </c>
      <c r="H52">
        <v>34.632034632034632</v>
      </c>
      <c r="I52">
        <v>1</v>
      </c>
      <c r="J52">
        <v>2.8138528138528138</v>
      </c>
      <c r="K52">
        <v>2.8138528138528138</v>
      </c>
      <c r="L52">
        <v>30.8</v>
      </c>
      <c r="M52">
        <v>107</v>
      </c>
      <c r="N52">
        <v>1</v>
      </c>
      <c r="O52">
        <v>4</v>
      </c>
      <c r="P52">
        <v>1300</v>
      </c>
      <c r="Q52">
        <v>462</v>
      </c>
      <c r="R52">
        <v>15</v>
      </c>
      <c r="S52">
        <v>14</v>
      </c>
      <c r="T52">
        <v>5168</v>
      </c>
      <c r="U52">
        <v>176</v>
      </c>
      <c r="V52">
        <v>16000</v>
      </c>
      <c r="W52">
        <v>1300</v>
      </c>
    </row>
    <row r="53" spans="1:23" x14ac:dyDescent="0.2">
      <c r="A53" t="s">
        <v>139</v>
      </c>
      <c r="B53" t="s">
        <v>157</v>
      </c>
      <c r="C53">
        <v>29.660796403884891</v>
      </c>
      <c r="D53">
        <v>548</v>
      </c>
      <c r="E53">
        <v>3154</v>
      </c>
      <c r="F53">
        <v>6</v>
      </c>
      <c r="G53">
        <v>6</v>
      </c>
      <c r="H53">
        <v>20.1875</v>
      </c>
      <c r="I53">
        <v>1</v>
      </c>
      <c r="J53">
        <v>3</v>
      </c>
      <c r="K53">
        <v>3</v>
      </c>
      <c r="L53">
        <v>5.333333333333333</v>
      </c>
      <c r="M53">
        <v>37</v>
      </c>
      <c r="N53">
        <v>1</v>
      </c>
      <c r="O53">
        <v>6</v>
      </c>
      <c r="P53">
        <v>96</v>
      </c>
      <c r="Q53">
        <v>32</v>
      </c>
      <c r="R53">
        <v>6</v>
      </c>
      <c r="S53">
        <v>6</v>
      </c>
      <c r="T53">
        <v>96</v>
      </c>
      <c r="U53">
        <v>15</v>
      </c>
      <c r="V53">
        <v>646</v>
      </c>
      <c r="W53">
        <v>96</v>
      </c>
    </row>
    <row r="54" spans="1:23" x14ac:dyDescent="0.2">
      <c r="A54" t="s">
        <v>141</v>
      </c>
      <c r="B54" t="s">
        <v>157</v>
      </c>
      <c r="C54">
        <v>921.90747785568237</v>
      </c>
      <c r="D54">
        <v>2933</v>
      </c>
      <c r="E54">
        <v>6487</v>
      </c>
      <c r="F54">
        <v>13</v>
      </c>
      <c r="G54">
        <v>11</v>
      </c>
      <c r="H54">
        <v>24.38461538461538</v>
      </c>
      <c r="I54">
        <v>1.1875</v>
      </c>
      <c r="J54">
        <v>1.9487179487179489</v>
      </c>
      <c r="K54">
        <v>1.641025641025641</v>
      </c>
      <c r="L54">
        <v>3.545454545454545</v>
      </c>
      <c r="M54">
        <v>101</v>
      </c>
      <c r="N54">
        <v>3</v>
      </c>
      <c r="O54">
        <v>4</v>
      </c>
      <c r="P54">
        <v>64</v>
      </c>
      <c r="Q54">
        <v>39</v>
      </c>
      <c r="R54">
        <v>11</v>
      </c>
      <c r="S54">
        <v>19</v>
      </c>
      <c r="T54">
        <v>665</v>
      </c>
      <c r="U54">
        <v>181</v>
      </c>
      <c r="V54">
        <v>951</v>
      </c>
      <c r="W54">
        <v>76</v>
      </c>
    </row>
    <row r="55" spans="1:23" x14ac:dyDescent="0.2">
      <c r="A55" t="s">
        <v>142</v>
      </c>
      <c r="B55" t="s">
        <v>157</v>
      </c>
      <c r="C55">
        <v>1158.1067538261409</v>
      </c>
      <c r="D55">
        <v>844</v>
      </c>
      <c r="E55">
        <v>5696</v>
      </c>
      <c r="F55">
        <v>6</v>
      </c>
      <c r="G55">
        <v>6</v>
      </c>
      <c r="H55">
        <v>1.857142857142857</v>
      </c>
      <c r="I55">
        <v>4.5</v>
      </c>
      <c r="J55">
        <v>3.8571428571428572</v>
      </c>
      <c r="K55">
        <v>0.8571428571428571</v>
      </c>
      <c r="L55">
        <v>7</v>
      </c>
      <c r="M55">
        <v>2</v>
      </c>
      <c r="N55">
        <v>7</v>
      </c>
      <c r="O55">
        <v>1</v>
      </c>
      <c r="P55">
        <v>36</v>
      </c>
      <c r="Q55">
        <v>42</v>
      </c>
      <c r="R55">
        <v>6</v>
      </c>
      <c r="S55">
        <v>42</v>
      </c>
      <c r="T55">
        <v>1602</v>
      </c>
      <c r="U55">
        <v>225</v>
      </c>
      <c r="V55">
        <v>78</v>
      </c>
      <c r="W55">
        <v>162</v>
      </c>
    </row>
    <row r="56" spans="1:23" x14ac:dyDescent="0.2">
      <c r="A56" t="s">
        <v>145</v>
      </c>
      <c r="B56" t="s">
        <v>157</v>
      </c>
      <c r="C56">
        <v>3367.8720877170558</v>
      </c>
      <c r="D56">
        <v>14060</v>
      </c>
      <c r="E56">
        <v>54980</v>
      </c>
      <c r="F56">
        <v>8</v>
      </c>
      <c r="G56">
        <v>11</v>
      </c>
      <c r="H56">
        <v>73769.610619469022</v>
      </c>
      <c r="I56">
        <v>1.8048780487804881</v>
      </c>
      <c r="J56">
        <v>3.9292035398230092</v>
      </c>
      <c r="K56">
        <v>2.1769911504424782</v>
      </c>
      <c r="L56">
        <v>10.27272727272727</v>
      </c>
      <c r="M56">
        <v>4879681</v>
      </c>
      <c r="N56">
        <v>6</v>
      </c>
      <c r="O56">
        <v>4</v>
      </c>
      <c r="P56">
        <v>246</v>
      </c>
      <c r="Q56">
        <v>113</v>
      </c>
      <c r="R56">
        <v>11</v>
      </c>
      <c r="S56">
        <v>32</v>
      </c>
      <c r="T56">
        <v>3172</v>
      </c>
      <c r="U56">
        <v>311</v>
      </c>
      <c r="V56">
        <v>8335966</v>
      </c>
      <c r="W56">
        <v>444</v>
      </c>
    </row>
    <row r="57" spans="1:23" x14ac:dyDescent="0.2">
      <c r="A57" t="s">
        <v>146</v>
      </c>
      <c r="B57" t="s">
        <v>157</v>
      </c>
      <c r="C57">
        <v>18.445169925689701</v>
      </c>
      <c r="D57">
        <v>100</v>
      </c>
      <c r="E57">
        <v>1788</v>
      </c>
      <c r="F57">
        <v>6</v>
      </c>
      <c r="G57">
        <v>4</v>
      </c>
      <c r="H57">
        <v>12.0625</v>
      </c>
      <c r="I57">
        <v>1.1379310344827589</v>
      </c>
      <c r="J57">
        <v>4.125</v>
      </c>
      <c r="K57">
        <v>3.625</v>
      </c>
      <c r="L57">
        <v>24</v>
      </c>
      <c r="M57">
        <v>29</v>
      </c>
      <c r="N57">
        <v>2</v>
      </c>
      <c r="O57">
        <v>6</v>
      </c>
      <c r="P57">
        <v>348</v>
      </c>
      <c r="Q57">
        <v>96</v>
      </c>
      <c r="R57">
        <v>4</v>
      </c>
      <c r="S57">
        <v>10</v>
      </c>
      <c r="T57">
        <v>564</v>
      </c>
      <c r="U57">
        <v>16</v>
      </c>
      <c r="V57">
        <v>1158</v>
      </c>
      <c r="W57">
        <v>396</v>
      </c>
    </row>
    <row r="58" spans="1:23" x14ac:dyDescent="0.2">
      <c r="A58" t="s">
        <v>148</v>
      </c>
      <c r="B58" t="s">
        <v>157</v>
      </c>
      <c r="C58">
        <v>227.62509250640869</v>
      </c>
      <c r="D58">
        <v>1425</v>
      </c>
      <c r="E58">
        <v>16202</v>
      </c>
      <c r="F58">
        <v>6</v>
      </c>
      <c r="G58">
        <v>6</v>
      </c>
      <c r="H58">
        <v>10.142857142857141</v>
      </c>
      <c r="I58">
        <v>1.454545454545455</v>
      </c>
      <c r="J58">
        <v>2.285714285714286</v>
      </c>
      <c r="K58">
        <v>1.571428571428571</v>
      </c>
      <c r="L58">
        <v>7</v>
      </c>
      <c r="M58">
        <v>11</v>
      </c>
      <c r="N58">
        <v>2</v>
      </c>
      <c r="O58">
        <v>2</v>
      </c>
      <c r="P58">
        <v>66</v>
      </c>
      <c r="Q58">
        <v>42</v>
      </c>
      <c r="R58">
        <v>6</v>
      </c>
      <c r="S58">
        <v>12</v>
      </c>
      <c r="T58">
        <v>408</v>
      </c>
      <c r="U58">
        <v>54</v>
      </c>
      <c r="V58">
        <v>426</v>
      </c>
      <c r="W58">
        <v>96</v>
      </c>
    </row>
    <row r="59" spans="1:23" x14ac:dyDescent="0.2">
      <c r="A59" t="s">
        <v>149</v>
      </c>
      <c r="B59" t="s">
        <v>157</v>
      </c>
      <c r="C59">
        <v>156.04979729652399</v>
      </c>
      <c r="D59">
        <v>1218</v>
      </c>
      <c r="E59">
        <v>1070</v>
      </c>
      <c r="F59">
        <v>9</v>
      </c>
      <c r="G59">
        <v>9</v>
      </c>
      <c r="H59">
        <v>58996447832941.812</v>
      </c>
      <c r="I59">
        <v>1.05521472392638</v>
      </c>
      <c r="J59">
        <v>1.6699029126213589</v>
      </c>
      <c r="K59">
        <v>1.5825242718446599</v>
      </c>
      <c r="L59">
        <v>11.444444444444439</v>
      </c>
      <c r="M59">
        <v>1212982689600000</v>
      </c>
      <c r="N59">
        <v>2</v>
      </c>
      <c r="O59">
        <v>3</v>
      </c>
      <c r="P59">
        <v>163</v>
      </c>
      <c r="Q59">
        <v>103</v>
      </c>
      <c r="R59">
        <v>9</v>
      </c>
      <c r="S59">
        <v>18</v>
      </c>
      <c r="T59">
        <v>1682</v>
      </c>
      <c r="U59">
        <v>143</v>
      </c>
      <c r="V59">
        <v>6076634126793007</v>
      </c>
      <c r="W59">
        <v>172</v>
      </c>
    </row>
    <row r="60" spans="1:23" x14ac:dyDescent="0.2">
      <c r="A60" t="s">
        <v>150</v>
      </c>
      <c r="B60" t="s">
        <v>157</v>
      </c>
      <c r="C60">
        <v>557.05427193641663</v>
      </c>
      <c r="D60">
        <v>2255</v>
      </c>
      <c r="E60">
        <v>3940</v>
      </c>
      <c r="F60">
        <v>11</v>
      </c>
      <c r="G60">
        <v>11</v>
      </c>
      <c r="H60">
        <v>526.16666666666663</v>
      </c>
      <c r="I60">
        <v>1.2325581395348839</v>
      </c>
      <c r="J60">
        <v>1.2619047619047621</v>
      </c>
      <c r="K60">
        <v>1.0238095238095239</v>
      </c>
      <c r="L60">
        <v>3.8181818181818179</v>
      </c>
      <c r="M60">
        <v>5329</v>
      </c>
      <c r="N60">
        <v>2</v>
      </c>
      <c r="O60">
        <v>3</v>
      </c>
      <c r="P60">
        <v>43</v>
      </c>
      <c r="Q60">
        <v>42</v>
      </c>
      <c r="R60">
        <v>11</v>
      </c>
      <c r="S60">
        <v>21</v>
      </c>
      <c r="T60">
        <v>829</v>
      </c>
      <c r="U60">
        <v>211</v>
      </c>
      <c r="V60">
        <v>22099</v>
      </c>
      <c r="W60">
        <v>53</v>
      </c>
    </row>
    <row r="61" spans="1:23" x14ac:dyDescent="0.2">
      <c r="A61" t="s">
        <v>154</v>
      </c>
      <c r="B61" t="s">
        <v>157</v>
      </c>
      <c r="C61">
        <v>3.6309604644775391</v>
      </c>
      <c r="D61">
        <v>39</v>
      </c>
      <c r="E61">
        <v>153</v>
      </c>
      <c r="F61">
        <v>5</v>
      </c>
      <c r="G61">
        <v>4</v>
      </c>
      <c r="H61">
        <v>391.11111111111109</v>
      </c>
      <c r="I61">
        <v>1.8269230769230771</v>
      </c>
      <c r="J61">
        <v>4.2222222222222223</v>
      </c>
      <c r="K61">
        <v>2.3111111111111109</v>
      </c>
      <c r="L61">
        <v>11.25</v>
      </c>
      <c r="M61">
        <v>5184</v>
      </c>
      <c r="N61">
        <v>4</v>
      </c>
      <c r="O61">
        <v>4</v>
      </c>
      <c r="P61">
        <v>104</v>
      </c>
      <c r="Q61">
        <v>45</v>
      </c>
      <c r="R61">
        <v>4</v>
      </c>
      <c r="S61">
        <v>13</v>
      </c>
      <c r="T61">
        <v>395</v>
      </c>
      <c r="U61">
        <v>27</v>
      </c>
      <c r="V61">
        <v>17600</v>
      </c>
      <c r="W61">
        <v>190</v>
      </c>
    </row>
    <row r="62" spans="1:23" x14ac:dyDescent="0.2">
      <c r="A62" t="s">
        <v>155</v>
      </c>
      <c r="B62" t="s">
        <v>157</v>
      </c>
      <c r="C62">
        <v>8.4684929847717285</v>
      </c>
      <c r="D62">
        <v>4951</v>
      </c>
      <c r="E62">
        <v>6889</v>
      </c>
      <c r="F62">
        <v>16</v>
      </c>
      <c r="G62">
        <v>16</v>
      </c>
      <c r="H62">
        <v>660.8125</v>
      </c>
      <c r="I62">
        <v>1.032258064516129</v>
      </c>
      <c r="J62">
        <v>2</v>
      </c>
      <c r="K62">
        <v>1.9375</v>
      </c>
      <c r="L62">
        <v>4</v>
      </c>
      <c r="M62">
        <v>17161</v>
      </c>
      <c r="N62">
        <v>2</v>
      </c>
      <c r="O62">
        <v>2</v>
      </c>
      <c r="P62">
        <v>124</v>
      </c>
      <c r="Q62">
        <v>64</v>
      </c>
      <c r="R62">
        <v>16</v>
      </c>
      <c r="S62">
        <v>20</v>
      </c>
      <c r="T62">
        <v>1152</v>
      </c>
      <c r="U62">
        <v>288</v>
      </c>
      <c r="V62">
        <v>42292</v>
      </c>
      <c r="W62">
        <v>128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62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157</v>
      </c>
      <c r="C2">
        <v>52.838376998901367</v>
      </c>
      <c r="D2">
        <v>871</v>
      </c>
      <c r="E2">
        <v>1129</v>
      </c>
      <c r="F2">
        <v>8</v>
      </c>
      <c r="G2">
        <v>8</v>
      </c>
      <c r="H2">
        <v>29.588235294117649</v>
      </c>
      <c r="I2">
        <v>1</v>
      </c>
      <c r="J2">
        <v>0.70588235294117652</v>
      </c>
      <c r="K2">
        <v>0.70588235294117652</v>
      </c>
      <c r="L2">
        <v>14.875</v>
      </c>
      <c r="M2">
        <v>53</v>
      </c>
      <c r="N2">
        <v>1</v>
      </c>
      <c r="O2">
        <v>1</v>
      </c>
      <c r="P2">
        <v>84</v>
      </c>
      <c r="Q2">
        <v>119</v>
      </c>
      <c r="R2">
        <v>8</v>
      </c>
      <c r="S2">
        <v>8</v>
      </c>
      <c r="T2">
        <v>868</v>
      </c>
      <c r="U2">
        <v>56</v>
      </c>
      <c r="V2">
        <v>3521</v>
      </c>
      <c r="W2">
        <v>84</v>
      </c>
    </row>
    <row r="3" spans="1:23" x14ac:dyDescent="0.2">
      <c r="A3" t="s">
        <v>25</v>
      </c>
      <c r="B3" t="s">
        <v>157</v>
      </c>
      <c r="C3">
        <v>228.75973320007321</v>
      </c>
      <c r="D3">
        <v>3652</v>
      </c>
      <c r="E3">
        <v>1011</v>
      </c>
      <c r="F3">
        <v>34</v>
      </c>
      <c r="G3">
        <v>34</v>
      </c>
      <c r="H3">
        <v>10591.4776119403</v>
      </c>
      <c r="I3">
        <v>1.143558282208589</v>
      </c>
      <c r="J3">
        <v>1.159203980099502</v>
      </c>
      <c r="K3">
        <v>1.013681592039801</v>
      </c>
      <c r="L3">
        <v>23.647058823529409</v>
      </c>
      <c r="M3">
        <v>2500000</v>
      </c>
      <c r="N3">
        <v>2</v>
      </c>
      <c r="O3">
        <v>4</v>
      </c>
      <c r="P3">
        <v>815</v>
      </c>
      <c r="Q3">
        <v>804</v>
      </c>
      <c r="R3">
        <v>34</v>
      </c>
      <c r="S3">
        <v>68</v>
      </c>
      <c r="T3">
        <v>53740</v>
      </c>
      <c r="U3">
        <v>2243</v>
      </c>
      <c r="V3">
        <v>8515548</v>
      </c>
      <c r="W3">
        <v>932</v>
      </c>
    </row>
    <row r="4" spans="1:23" x14ac:dyDescent="0.2">
      <c r="A4" t="s">
        <v>26</v>
      </c>
      <c r="B4" t="s">
        <v>157</v>
      </c>
      <c r="C4">
        <v>35.502800226211548</v>
      </c>
      <c r="D4">
        <v>2194</v>
      </c>
      <c r="E4">
        <v>5775</v>
      </c>
      <c r="F4">
        <v>9</v>
      </c>
      <c r="G4">
        <v>9</v>
      </c>
      <c r="H4">
        <v>27.151515151515149</v>
      </c>
      <c r="I4">
        <v>1</v>
      </c>
      <c r="J4">
        <v>0.60606060606060608</v>
      </c>
      <c r="K4">
        <v>0.60606060606060608</v>
      </c>
      <c r="L4">
        <v>14.66666666666667</v>
      </c>
      <c r="M4">
        <v>61</v>
      </c>
      <c r="N4">
        <v>1</v>
      </c>
      <c r="O4">
        <v>1</v>
      </c>
      <c r="P4">
        <v>80</v>
      </c>
      <c r="Q4">
        <v>132</v>
      </c>
      <c r="R4">
        <v>9</v>
      </c>
      <c r="S4">
        <v>9</v>
      </c>
      <c r="T4">
        <v>1108</v>
      </c>
      <c r="U4">
        <v>72</v>
      </c>
      <c r="V4">
        <v>3584</v>
      </c>
      <c r="W4">
        <v>80</v>
      </c>
    </row>
    <row r="5" spans="1:23" x14ac:dyDescent="0.2">
      <c r="A5" t="s">
        <v>27</v>
      </c>
      <c r="B5" t="s">
        <v>157</v>
      </c>
      <c r="C5">
        <v>296.66057658195501</v>
      </c>
      <c r="D5">
        <v>7418</v>
      </c>
      <c r="E5">
        <v>24863</v>
      </c>
      <c r="F5">
        <v>10</v>
      </c>
      <c r="G5">
        <v>10</v>
      </c>
      <c r="H5">
        <v>31.320987654320991</v>
      </c>
      <c r="I5">
        <v>1</v>
      </c>
      <c r="J5">
        <v>0.61111111111111116</v>
      </c>
      <c r="K5">
        <v>0.61111111111111116</v>
      </c>
      <c r="L5">
        <v>16.2</v>
      </c>
      <c r="M5">
        <v>71</v>
      </c>
      <c r="N5">
        <v>1</v>
      </c>
      <c r="O5">
        <v>1</v>
      </c>
      <c r="P5">
        <v>99</v>
      </c>
      <c r="Q5">
        <v>162</v>
      </c>
      <c r="R5">
        <v>10</v>
      </c>
      <c r="S5">
        <v>10</v>
      </c>
      <c r="T5">
        <v>1521</v>
      </c>
      <c r="U5">
        <v>90</v>
      </c>
      <c r="V5">
        <v>5074</v>
      </c>
      <c r="W5">
        <v>99</v>
      </c>
    </row>
    <row r="6" spans="1:23" x14ac:dyDescent="0.2">
      <c r="A6" t="s">
        <v>30</v>
      </c>
      <c r="B6" t="s">
        <v>157</v>
      </c>
      <c r="C6">
        <v>6.4706821441650391</v>
      </c>
      <c r="D6">
        <v>275</v>
      </c>
      <c r="E6">
        <v>378</v>
      </c>
      <c r="F6">
        <v>8</v>
      </c>
      <c r="G6">
        <v>8</v>
      </c>
      <c r="H6">
        <v>70.364285714285714</v>
      </c>
      <c r="I6">
        <v>1.053191489361702</v>
      </c>
      <c r="J6">
        <v>0.70714285714285718</v>
      </c>
      <c r="K6">
        <v>0.67142857142857137</v>
      </c>
      <c r="L6">
        <v>17.5</v>
      </c>
      <c r="M6">
        <v>1056</v>
      </c>
      <c r="N6">
        <v>2</v>
      </c>
      <c r="O6">
        <v>1</v>
      </c>
      <c r="P6">
        <v>94</v>
      </c>
      <c r="Q6">
        <v>140</v>
      </c>
      <c r="R6">
        <v>8</v>
      </c>
      <c r="S6">
        <v>9</v>
      </c>
      <c r="T6">
        <v>1161</v>
      </c>
      <c r="U6">
        <v>59</v>
      </c>
      <c r="V6">
        <v>9851</v>
      </c>
      <c r="W6">
        <v>99</v>
      </c>
    </row>
    <row r="7" spans="1:23" x14ac:dyDescent="0.2">
      <c r="A7" t="s">
        <v>31</v>
      </c>
      <c r="B7" t="s">
        <v>157</v>
      </c>
      <c r="C7">
        <v>1465.963356971741</v>
      </c>
      <c r="D7">
        <v>4433</v>
      </c>
      <c r="E7">
        <v>2254</v>
      </c>
      <c r="F7">
        <v>29</v>
      </c>
      <c r="G7">
        <v>29</v>
      </c>
      <c r="H7">
        <v>1.104950288806204E+24</v>
      </c>
      <c r="I7">
        <v>1.4862385321100919</v>
      </c>
      <c r="J7">
        <v>0.9274809160305344</v>
      </c>
      <c r="K7">
        <v>0.62404580152671751</v>
      </c>
      <c r="L7">
        <v>18.068965517241381</v>
      </c>
      <c r="M7">
        <v>5.789781838338084E+26</v>
      </c>
      <c r="N7">
        <v>16</v>
      </c>
      <c r="O7">
        <v>2</v>
      </c>
      <c r="P7">
        <v>327</v>
      </c>
      <c r="Q7">
        <v>524</v>
      </c>
      <c r="R7">
        <v>29</v>
      </c>
      <c r="S7">
        <v>47</v>
      </c>
      <c r="T7">
        <v>24142</v>
      </c>
      <c r="U7">
        <v>1250</v>
      </c>
      <c r="V7">
        <v>5.7899395133445097E+26</v>
      </c>
      <c r="W7">
        <v>486</v>
      </c>
    </row>
    <row r="8" spans="1:23" x14ac:dyDescent="0.2">
      <c r="A8" t="s">
        <v>33</v>
      </c>
      <c r="B8" t="s">
        <v>157</v>
      </c>
      <c r="C8">
        <v>48.641052961349487</v>
      </c>
      <c r="D8">
        <v>2022</v>
      </c>
      <c r="E8">
        <v>1818</v>
      </c>
      <c r="F8">
        <v>12</v>
      </c>
      <c r="G8">
        <v>12</v>
      </c>
      <c r="H8">
        <v>3353.4086021505382</v>
      </c>
      <c r="I8">
        <v>1.203389830508474</v>
      </c>
      <c r="J8">
        <v>0.76344086021505375</v>
      </c>
      <c r="K8">
        <v>0.63440860215053763</v>
      </c>
      <c r="L8">
        <v>7.75</v>
      </c>
      <c r="M8">
        <v>39701</v>
      </c>
      <c r="N8">
        <v>2</v>
      </c>
      <c r="O8">
        <v>1</v>
      </c>
      <c r="P8">
        <v>59</v>
      </c>
      <c r="Q8">
        <v>93</v>
      </c>
      <c r="R8">
        <v>12</v>
      </c>
      <c r="S8">
        <v>24</v>
      </c>
      <c r="T8">
        <v>2161</v>
      </c>
      <c r="U8">
        <v>270</v>
      </c>
      <c r="V8">
        <v>311867</v>
      </c>
      <c r="W8">
        <v>71</v>
      </c>
    </row>
    <row r="9" spans="1:23" x14ac:dyDescent="0.2">
      <c r="A9" t="s">
        <v>35</v>
      </c>
      <c r="B9" t="s">
        <v>157</v>
      </c>
      <c r="C9">
        <v>1.2818000316619871</v>
      </c>
      <c r="D9">
        <v>177</v>
      </c>
      <c r="E9">
        <v>103</v>
      </c>
      <c r="F9">
        <v>6</v>
      </c>
      <c r="G9">
        <v>6</v>
      </c>
      <c r="H9">
        <v>2315.2766990291261</v>
      </c>
      <c r="I9">
        <v>1</v>
      </c>
      <c r="J9">
        <v>0.60194174757281549</v>
      </c>
      <c r="K9">
        <v>0.60194174757281549</v>
      </c>
      <c r="L9">
        <v>34.333333333333343</v>
      </c>
      <c r="M9">
        <v>57031</v>
      </c>
      <c r="N9">
        <v>1</v>
      </c>
      <c r="O9">
        <v>1</v>
      </c>
      <c r="P9">
        <v>124</v>
      </c>
      <c r="Q9">
        <v>206</v>
      </c>
      <c r="R9">
        <v>6</v>
      </c>
      <c r="S9">
        <v>6</v>
      </c>
      <c r="T9">
        <v>1112</v>
      </c>
      <c r="U9">
        <v>30</v>
      </c>
      <c r="V9">
        <v>476947</v>
      </c>
      <c r="W9">
        <v>124</v>
      </c>
    </row>
    <row r="10" spans="1:23" x14ac:dyDescent="0.2">
      <c r="A10" t="s">
        <v>36</v>
      </c>
      <c r="B10" t="s">
        <v>157</v>
      </c>
      <c r="C10">
        <v>2.7778723239898682</v>
      </c>
      <c r="D10">
        <v>226</v>
      </c>
      <c r="E10">
        <v>138</v>
      </c>
      <c r="F10">
        <v>6</v>
      </c>
      <c r="G10">
        <v>6</v>
      </c>
      <c r="H10">
        <v>169.5869565217391</v>
      </c>
      <c r="I10">
        <v>1.3731343283582089</v>
      </c>
      <c r="J10">
        <v>1</v>
      </c>
      <c r="K10">
        <v>0.72826086956521741</v>
      </c>
      <c r="L10">
        <v>15.33333333333333</v>
      </c>
      <c r="M10">
        <v>1369</v>
      </c>
      <c r="N10">
        <v>2</v>
      </c>
      <c r="O10">
        <v>1</v>
      </c>
      <c r="P10">
        <v>67</v>
      </c>
      <c r="Q10">
        <v>92</v>
      </c>
      <c r="R10">
        <v>6</v>
      </c>
      <c r="S10">
        <v>12</v>
      </c>
      <c r="T10">
        <v>1012</v>
      </c>
      <c r="U10">
        <v>61</v>
      </c>
      <c r="V10">
        <v>15602</v>
      </c>
      <c r="W10">
        <v>92</v>
      </c>
    </row>
    <row r="11" spans="1:23" x14ac:dyDescent="0.2">
      <c r="A11" t="s">
        <v>38</v>
      </c>
      <c r="B11" t="s">
        <v>157</v>
      </c>
      <c r="C11">
        <v>143.1133682727814</v>
      </c>
      <c r="D11">
        <v>274</v>
      </c>
      <c r="E11">
        <v>1763</v>
      </c>
      <c r="F11">
        <v>5</v>
      </c>
      <c r="G11">
        <v>5</v>
      </c>
      <c r="H11">
        <v>781633.02500000002</v>
      </c>
      <c r="I11">
        <v>4</v>
      </c>
      <c r="J11">
        <v>2.5</v>
      </c>
      <c r="K11">
        <v>0.625</v>
      </c>
      <c r="L11">
        <v>8</v>
      </c>
      <c r="M11">
        <v>20511149</v>
      </c>
      <c r="N11">
        <v>6</v>
      </c>
      <c r="O11">
        <v>1</v>
      </c>
      <c r="P11">
        <v>25</v>
      </c>
      <c r="Q11">
        <v>40</v>
      </c>
      <c r="R11">
        <v>5</v>
      </c>
      <c r="S11">
        <v>30</v>
      </c>
      <c r="T11">
        <v>1100</v>
      </c>
      <c r="U11">
        <v>130</v>
      </c>
      <c r="V11">
        <v>31265321</v>
      </c>
      <c r="W11">
        <v>100</v>
      </c>
    </row>
    <row r="12" spans="1:23" x14ac:dyDescent="0.2">
      <c r="A12" t="s">
        <v>44</v>
      </c>
      <c r="B12" t="s">
        <v>157</v>
      </c>
      <c r="C12">
        <v>107.6230447292328</v>
      </c>
      <c r="D12">
        <v>2787</v>
      </c>
      <c r="E12">
        <v>2832</v>
      </c>
      <c r="F12">
        <v>12</v>
      </c>
      <c r="G12">
        <v>12</v>
      </c>
      <c r="H12">
        <v>3353.5376344086021</v>
      </c>
      <c r="I12">
        <v>1.166666666666667</v>
      </c>
      <c r="J12">
        <v>0.90322580645161288</v>
      </c>
      <c r="K12">
        <v>0.77419354838709675</v>
      </c>
      <c r="L12">
        <v>7.75</v>
      </c>
      <c r="M12">
        <v>39701</v>
      </c>
      <c r="N12">
        <v>2</v>
      </c>
      <c r="O12">
        <v>2</v>
      </c>
      <c r="P12">
        <v>72</v>
      </c>
      <c r="Q12">
        <v>93</v>
      </c>
      <c r="R12">
        <v>12</v>
      </c>
      <c r="S12">
        <v>24</v>
      </c>
      <c r="T12">
        <v>2148</v>
      </c>
      <c r="U12">
        <v>266</v>
      </c>
      <c r="V12">
        <v>311879</v>
      </c>
      <c r="W12">
        <v>84</v>
      </c>
    </row>
    <row r="13" spans="1:23" x14ac:dyDescent="0.2">
      <c r="A13" t="s">
        <v>45</v>
      </c>
      <c r="B13" t="s">
        <v>157</v>
      </c>
      <c r="C13">
        <v>10.202280044555661</v>
      </c>
      <c r="D13">
        <v>280</v>
      </c>
      <c r="E13">
        <v>431</v>
      </c>
      <c r="F13">
        <v>7</v>
      </c>
      <c r="G13">
        <v>7</v>
      </c>
      <c r="H13">
        <v>34.663551401869157</v>
      </c>
      <c r="I13">
        <v>1.128571428571429</v>
      </c>
      <c r="J13">
        <v>0.73831775700934577</v>
      </c>
      <c r="K13">
        <v>0.65420560747663548</v>
      </c>
      <c r="L13">
        <v>15.28571428571429</v>
      </c>
      <c r="M13">
        <v>841</v>
      </c>
      <c r="N13">
        <v>2</v>
      </c>
      <c r="O13">
        <v>1</v>
      </c>
      <c r="P13">
        <v>70</v>
      </c>
      <c r="Q13">
        <v>107</v>
      </c>
      <c r="R13">
        <v>7</v>
      </c>
      <c r="S13">
        <v>14</v>
      </c>
      <c r="T13">
        <v>1419</v>
      </c>
      <c r="U13">
        <v>88</v>
      </c>
      <c r="V13">
        <v>3709</v>
      </c>
      <c r="W13">
        <v>79</v>
      </c>
    </row>
    <row r="14" spans="1:23" x14ac:dyDescent="0.2">
      <c r="A14" t="s">
        <v>46</v>
      </c>
      <c r="B14" t="s">
        <v>157</v>
      </c>
      <c r="C14">
        <v>218.2070107460022</v>
      </c>
      <c r="D14">
        <v>3625</v>
      </c>
      <c r="E14">
        <v>3154</v>
      </c>
      <c r="F14">
        <v>10</v>
      </c>
      <c r="G14">
        <v>62</v>
      </c>
      <c r="H14">
        <v>126.4472461844725</v>
      </c>
      <c r="I14">
        <v>1.0718283582089549</v>
      </c>
      <c r="J14">
        <v>0.76244193762441936</v>
      </c>
      <c r="K14">
        <v>0.71134704711347052</v>
      </c>
      <c r="L14">
        <v>24.306451612903221</v>
      </c>
      <c r="M14">
        <v>5041</v>
      </c>
      <c r="N14">
        <v>2</v>
      </c>
      <c r="O14">
        <v>2</v>
      </c>
      <c r="P14">
        <v>1072</v>
      </c>
      <c r="Q14">
        <v>1507</v>
      </c>
      <c r="R14">
        <v>62</v>
      </c>
      <c r="S14">
        <v>19</v>
      </c>
      <c r="T14">
        <v>27484</v>
      </c>
      <c r="U14">
        <v>1061</v>
      </c>
      <c r="V14">
        <v>190556</v>
      </c>
      <c r="W14">
        <v>1149</v>
      </c>
    </row>
    <row r="15" spans="1:23" x14ac:dyDescent="0.2">
      <c r="A15" t="s">
        <v>47</v>
      </c>
      <c r="B15" t="s">
        <v>157</v>
      </c>
      <c r="C15">
        <v>83.154446363449097</v>
      </c>
      <c r="D15">
        <v>738</v>
      </c>
      <c r="E15">
        <v>9150</v>
      </c>
      <c r="F15">
        <v>6</v>
      </c>
      <c r="G15">
        <v>6</v>
      </c>
      <c r="H15">
        <v>18416.195121951219</v>
      </c>
      <c r="I15">
        <v>1.166666666666667</v>
      </c>
      <c r="J15">
        <v>0.85365853658536583</v>
      </c>
      <c r="K15">
        <v>0.73170731707317072</v>
      </c>
      <c r="L15">
        <v>13.66666666666667</v>
      </c>
      <c r="M15">
        <v>1419857</v>
      </c>
      <c r="N15">
        <v>5</v>
      </c>
      <c r="O15">
        <v>1</v>
      </c>
      <c r="P15">
        <v>60</v>
      </c>
      <c r="Q15">
        <v>82</v>
      </c>
      <c r="R15">
        <v>6</v>
      </c>
      <c r="S15">
        <v>10</v>
      </c>
      <c r="T15">
        <v>750</v>
      </c>
      <c r="U15">
        <v>44</v>
      </c>
      <c r="V15">
        <v>1510128</v>
      </c>
      <c r="W15">
        <v>70</v>
      </c>
    </row>
    <row r="16" spans="1:23" x14ac:dyDescent="0.2">
      <c r="A16" t="s">
        <v>54</v>
      </c>
      <c r="B16" t="s">
        <v>157</v>
      </c>
      <c r="C16">
        <v>1.6613538265228269</v>
      </c>
      <c r="D16">
        <v>95</v>
      </c>
      <c r="E16">
        <v>81</v>
      </c>
      <c r="F16">
        <v>5</v>
      </c>
      <c r="G16">
        <v>5</v>
      </c>
      <c r="H16">
        <v>3.2832145246748221E+18</v>
      </c>
      <c r="I16">
        <v>1.219512195121951</v>
      </c>
      <c r="J16">
        <v>0.80645161290322576</v>
      </c>
      <c r="K16">
        <v>0.66129032258064513</v>
      </c>
      <c r="L16">
        <v>12.4</v>
      </c>
      <c r="M16">
        <v>2.0337025628949099E+20</v>
      </c>
      <c r="N16">
        <v>2</v>
      </c>
      <c r="O16">
        <v>2</v>
      </c>
      <c r="P16">
        <v>41</v>
      </c>
      <c r="Q16">
        <v>62</v>
      </c>
      <c r="R16">
        <v>5</v>
      </c>
      <c r="S16">
        <v>8</v>
      </c>
      <c r="T16">
        <v>446</v>
      </c>
      <c r="U16">
        <v>28</v>
      </c>
      <c r="V16">
        <v>2.0355930052983901E+20</v>
      </c>
      <c r="W16">
        <v>50</v>
      </c>
    </row>
    <row r="17" spans="1:23" x14ac:dyDescent="0.2">
      <c r="A17" t="s">
        <v>56</v>
      </c>
      <c r="B17" t="s">
        <v>157</v>
      </c>
      <c r="C17">
        <v>312.39491963386541</v>
      </c>
      <c r="D17">
        <v>3548</v>
      </c>
      <c r="E17">
        <v>3602</v>
      </c>
      <c r="F17">
        <v>10</v>
      </c>
      <c r="G17">
        <v>10</v>
      </c>
      <c r="H17">
        <v>14986902.171428571</v>
      </c>
      <c r="I17">
        <v>1</v>
      </c>
      <c r="J17">
        <v>0.6428571428571429</v>
      </c>
      <c r="K17">
        <v>0.6428571428571429</v>
      </c>
      <c r="L17">
        <v>7</v>
      </c>
      <c r="M17">
        <v>100000000</v>
      </c>
      <c r="N17">
        <v>1</v>
      </c>
      <c r="O17">
        <v>2</v>
      </c>
      <c r="P17">
        <v>45</v>
      </c>
      <c r="Q17">
        <v>70</v>
      </c>
      <c r="R17">
        <v>10</v>
      </c>
      <c r="S17">
        <v>10</v>
      </c>
      <c r="T17">
        <v>655</v>
      </c>
      <c r="U17">
        <v>85</v>
      </c>
      <c r="V17">
        <v>1049083152</v>
      </c>
      <c r="W17">
        <v>45</v>
      </c>
    </row>
    <row r="18" spans="1:23" x14ac:dyDescent="0.2">
      <c r="A18" t="s">
        <v>57</v>
      </c>
      <c r="B18" t="s">
        <v>157</v>
      </c>
      <c r="C18">
        <v>2.2448265552520752</v>
      </c>
      <c r="D18">
        <v>62</v>
      </c>
      <c r="E18">
        <v>259</v>
      </c>
      <c r="F18">
        <v>5</v>
      </c>
      <c r="G18">
        <v>4</v>
      </c>
      <c r="H18">
        <v>295.78125</v>
      </c>
      <c r="I18">
        <v>1.48</v>
      </c>
      <c r="J18">
        <v>1.15625</v>
      </c>
      <c r="K18">
        <v>0.78125</v>
      </c>
      <c r="L18">
        <v>8</v>
      </c>
      <c r="M18">
        <v>6859</v>
      </c>
      <c r="N18">
        <v>3</v>
      </c>
      <c r="O18">
        <v>2</v>
      </c>
      <c r="P18">
        <v>25</v>
      </c>
      <c r="Q18">
        <v>32</v>
      </c>
      <c r="R18">
        <v>4</v>
      </c>
      <c r="S18">
        <v>11</v>
      </c>
      <c r="T18">
        <v>315</v>
      </c>
      <c r="U18">
        <v>33</v>
      </c>
      <c r="V18">
        <v>9465</v>
      </c>
      <c r="W18">
        <v>37</v>
      </c>
    </row>
    <row r="19" spans="1:23" x14ac:dyDescent="0.2">
      <c r="A19" t="s">
        <v>61</v>
      </c>
      <c r="B19" t="s">
        <v>157</v>
      </c>
      <c r="C19">
        <v>1319.464948654175</v>
      </c>
      <c r="D19">
        <v>25307</v>
      </c>
      <c r="E19">
        <v>104804</v>
      </c>
      <c r="F19">
        <v>11</v>
      </c>
      <c r="G19">
        <v>11</v>
      </c>
      <c r="H19">
        <v>35.47179487179487</v>
      </c>
      <c r="I19">
        <v>1</v>
      </c>
      <c r="J19">
        <v>0.67179487179487174</v>
      </c>
      <c r="K19">
        <v>0.67179487179487174</v>
      </c>
      <c r="L19">
        <v>17.72727272727273</v>
      </c>
      <c r="M19">
        <v>79</v>
      </c>
      <c r="N19">
        <v>1</v>
      </c>
      <c r="O19">
        <v>2</v>
      </c>
      <c r="P19">
        <v>131</v>
      </c>
      <c r="Q19">
        <v>195</v>
      </c>
      <c r="R19">
        <v>11</v>
      </c>
      <c r="S19">
        <v>11</v>
      </c>
      <c r="T19">
        <v>2014</v>
      </c>
      <c r="U19">
        <v>99</v>
      </c>
      <c r="V19">
        <v>6917</v>
      </c>
      <c r="W19">
        <v>131</v>
      </c>
    </row>
    <row r="20" spans="1:23" x14ac:dyDescent="0.2">
      <c r="A20" t="s">
        <v>63</v>
      </c>
      <c r="B20" t="s">
        <v>157</v>
      </c>
      <c r="C20">
        <v>515.78389930725098</v>
      </c>
      <c r="D20">
        <v>752</v>
      </c>
      <c r="E20">
        <v>2967</v>
      </c>
      <c r="F20">
        <v>7</v>
      </c>
      <c r="G20">
        <v>6</v>
      </c>
      <c r="H20">
        <v>2737.415094339623</v>
      </c>
      <c r="I20">
        <v>1.305555555555556</v>
      </c>
      <c r="J20">
        <v>0.8867924528301887</v>
      </c>
      <c r="K20">
        <v>0.67924528301886788</v>
      </c>
      <c r="L20">
        <v>8.8333333333333339</v>
      </c>
      <c r="M20">
        <v>79507</v>
      </c>
      <c r="N20">
        <v>3</v>
      </c>
      <c r="O20">
        <v>2</v>
      </c>
      <c r="P20">
        <v>36</v>
      </c>
      <c r="Q20">
        <v>53</v>
      </c>
      <c r="R20">
        <v>6</v>
      </c>
      <c r="S20">
        <v>15</v>
      </c>
      <c r="T20">
        <v>748</v>
      </c>
      <c r="U20">
        <v>71</v>
      </c>
      <c r="V20">
        <v>145083</v>
      </c>
      <c r="W20">
        <v>47</v>
      </c>
    </row>
    <row r="21" spans="1:23" x14ac:dyDescent="0.2">
      <c r="A21" t="s">
        <v>65</v>
      </c>
      <c r="B21" t="s">
        <v>157</v>
      </c>
      <c r="C21">
        <v>1.079257011413574</v>
      </c>
      <c r="D21">
        <v>94</v>
      </c>
      <c r="E21">
        <v>55</v>
      </c>
      <c r="F21">
        <v>6</v>
      </c>
      <c r="G21">
        <v>6</v>
      </c>
      <c r="H21">
        <v>16.35359116022099</v>
      </c>
      <c r="I21">
        <v>1.1953125</v>
      </c>
      <c r="J21">
        <v>0.84530386740331487</v>
      </c>
      <c r="K21">
        <v>0.70718232044198892</v>
      </c>
      <c r="L21">
        <v>30.166666666666671</v>
      </c>
      <c r="M21">
        <v>37</v>
      </c>
      <c r="N21">
        <v>2</v>
      </c>
      <c r="O21">
        <v>2</v>
      </c>
      <c r="P21">
        <v>128</v>
      </c>
      <c r="Q21">
        <v>181</v>
      </c>
      <c r="R21">
        <v>6</v>
      </c>
      <c r="S21">
        <v>7</v>
      </c>
      <c r="T21">
        <v>1114</v>
      </c>
      <c r="U21">
        <v>26</v>
      </c>
      <c r="V21">
        <v>2960</v>
      </c>
      <c r="W21">
        <v>153</v>
      </c>
    </row>
    <row r="22" spans="1:23" x14ac:dyDescent="0.2">
      <c r="A22" t="s">
        <v>67</v>
      </c>
      <c r="B22" t="s">
        <v>157</v>
      </c>
      <c r="C22">
        <v>1.836404085159302</v>
      </c>
      <c r="D22">
        <v>318</v>
      </c>
      <c r="E22">
        <v>636</v>
      </c>
      <c r="F22">
        <v>10</v>
      </c>
      <c r="G22">
        <v>9</v>
      </c>
      <c r="H22">
        <v>32.508379888268159</v>
      </c>
      <c r="I22">
        <v>1</v>
      </c>
      <c r="J22">
        <v>0.61452513966480449</v>
      </c>
      <c r="K22">
        <v>0.61452513966480449</v>
      </c>
      <c r="L22">
        <v>19.888888888888889</v>
      </c>
      <c r="M22">
        <v>71</v>
      </c>
      <c r="N22">
        <v>1</v>
      </c>
      <c r="O22">
        <v>1</v>
      </c>
      <c r="P22">
        <v>110</v>
      </c>
      <c r="Q22">
        <v>179</v>
      </c>
      <c r="R22">
        <v>9</v>
      </c>
      <c r="S22">
        <v>10</v>
      </c>
      <c r="T22">
        <v>1680</v>
      </c>
      <c r="U22">
        <v>81</v>
      </c>
      <c r="V22">
        <v>5819</v>
      </c>
      <c r="W22">
        <v>110</v>
      </c>
    </row>
    <row r="23" spans="1:23" x14ac:dyDescent="0.2">
      <c r="A23" t="s">
        <v>69</v>
      </c>
      <c r="B23" t="s">
        <v>157</v>
      </c>
      <c r="C23">
        <v>6.9192407131195068</v>
      </c>
      <c r="D23">
        <v>501</v>
      </c>
      <c r="E23">
        <v>367</v>
      </c>
      <c r="F23">
        <v>10</v>
      </c>
      <c r="G23">
        <v>10</v>
      </c>
      <c r="H23">
        <v>57.861386138613859</v>
      </c>
      <c r="I23">
        <v>1</v>
      </c>
      <c r="J23">
        <v>0.61386138613861385</v>
      </c>
      <c r="K23">
        <v>0.61386138613861385</v>
      </c>
      <c r="L23">
        <v>10.1</v>
      </c>
      <c r="M23">
        <v>595</v>
      </c>
      <c r="N23">
        <v>1</v>
      </c>
      <c r="O23">
        <v>1</v>
      </c>
      <c r="P23">
        <v>62</v>
      </c>
      <c r="Q23">
        <v>101</v>
      </c>
      <c r="R23">
        <v>10</v>
      </c>
      <c r="S23">
        <v>10</v>
      </c>
      <c r="T23">
        <v>948</v>
      </c>
      <c r="U23">
        <v>90</v>
      </c>
      <c r="V23">
        <v>5844</v>
      </c>
      <c r="W23">
        <v>62</v>
      </c>
    </row>
    <row r="24" spans="1:23" x14ac:dyDescent="0.2">
      <c r="A24" t="s">
        <v>70</v>
      </c>
      <c r="B24" t="s">
        <v>157</v>
      </c>
      <c r="C24">
        <v>268.32803320884699</v>
      </c>
      <c r="D24">
        <v>3516</v>
      </c>
      <c r="E24">
        <v>3589</v>
      </c>
      <c r="F24">
        <v>12</v>
      </c>
      <c r="G24">
        <v>10</v>
      </c>
      <c r="H24">
        <v>14986907.08571429</v>
      </c>
      <c r="I24">
        <v>1</v>
      </c>
      <c r="J24">
        <v>0.6428571428571429</v>
      </c>
      <c r="K24">
        <v>0.6428571428571429</v>
      </c>
      <c r="L24">
        <v>7</v>
      </c>
      <c r="M24">
        <v>100000000</v>
      </c>
      <c r="N24">
        <v>1</v>
      </c>
      <c r="O24">
        <v>2</v>
      </c>
      <c r="P24">
        <v>45</v>
      </c>
      <c r="Q24">
        <v>70</v>
      </c>
      <c r="R24">
        <v>10</v>
      </c>
      <c r="S24">
        <v>10</v>
      </c>
      <c r="T24">
        <v>655</v>
      </c>
      <c r="U24">
        <v>85</v>
      </c>
      <c r="V24">
        <v>1049083496</v>
      </c>
      <c r="W24">
        <v>45</v>
      </c>
    </row>
    <row r="25" spans="1:23" x14ac:dyDescent="0.2">
      <c r="A25" t="s">
        <v>78</v>
      </c>
      <c r="B25" t="s">
        <v>157</v>
      </c>
      <c r="C25">
        <v>6.154477596282959</v>
      </c>
      <c r="D25">
        <v>286</v>
      </c>
      <c r="E25">
        <v>256</v>
      </c>
      <c r="F25">
        <v>7</v>
      </c>
      <c r="G25">
        <v>7</v>
      </c>
      <c r="H25">
        <v>24.277777777777779</v>
      </c>
      <c r="I25">
        <v>1</v>
      </c>
      <c r="J25">
        <v>0.7</v>
      </c>
      <c r="K25">
        <v>0.7</v>
      </c>
      <c r="L25">
        <v>12.857142857142859</v>
      </c>
      <c r="M25">
        <v>43</v>
      </c>
      <c r="N25">
        <v>1</v>
      </c>
      <c r="O25">
        <v>1</v>
      </c>
      <c r="P25">
        <v>63</v>
      </c>
      <c r="Q25">
        <v>90</v>
      </c>
      <c r="R25">
        <v>7</v>
      </c>
      <c r="S25">
        <v>7</v>
      </c>
      <c r="T25">
        <v>567</v>
      </c>
      <c r="U25">
        <v>42</v>
      </c>
      <c r="V25">
        <v>2185</v>
      </c>
      <c r="W25">
        <v>63</v>
      </c>
    </row>
    <row r="26" spans="1:23" x14ac:dyDescent="0.2">
      <c r="A26" t="s">
        <v>80</v>
      </c>
      <c r="B26" t="s">
        <v>157</v>
      </c>
      <c r="C26">
        <v>5.2004568576812744</v>
      </c>
      <c r="D26">
        <v>196</v>
      </c>
      <c r="E26">
        <v>382</v>
      </c>
      <c r="F26">
        <v>7</v>
      </c>
      <c r="G26">
        <v>7</v>
      </c>
      <c r="H26">
        <v>8040.5614035087719</v>
      </c>
      <c r="I26">
        <v>1.653846153846154</v>
      </c>
      <c r="J26">
        <v>1.131578947368421</v>
      </c>
      <c r="K26">
        <v>0.68421052631578949</v>
      </c>
      <c r="L26">
        <v>16.285714285714281</v>
      </c>
      <c r="M26">
        <v>79507</v>
      </c>
      <c r="N26">
        <v>4</v>
      </c>
      <c r="O26">
        <v>2</v>
      </c>
      <c r="P26">
        <v>78</v>
      </c>
      <c r="Q26">
        <v>114</v>
      </c>
      <c r="R26">
        <v>7</v>
      </c>
      <c r="S26">
        <v>14</v>
      </c>
      <c r="T26">
        <v>1467</v>
      </c>
      <c r="U26">
        <v>74</v>
      </c>
      <c r="V26">
        <v>916624</v>
      </c>
      <c r="W26">
        <v>129</v>
      </c>
    </row>
    <row r="27" spans="1:23" x14ac:dyDescent="0.2">
      <c r="A27" t="s">
        <v>84</v>
      </c>
      <c r="B27" t="s">
        <v>157</v>
      </c>
      <c r="C27">
        <v>4.9941027164459229</v>
      </c>
      <c r="D27">
        <v>0</v>
      </c>
      <c r="E27">
        <v>416</v>
      </c>
      <c r="F27">
        <v>4</v>
      </c>
      <c r="G27">
        <v>4</v>
      </c>
      <c r="H27">
        <v>60191.130081300813</v>
      </c>
      <c r="I27">
        <v>1.576271186440678</v>
      </c>
      <c r="J27">
        <v>1.51219512195122</v>
      </c>
      <c r="K27">
        <v>0.95934959349593496</v>
      </c>
      <c r="L27">
        <v>30.75</v>
      </c>
      <c r="M27">
        <v>2985984</v>
      </c>
      <c r="N27">
        <v>3</v>
      </c>
      <c r="O27">
        <v>3</v>
      </c>
      <c r="P27">
        <v>118</v>
      </c>
      <c r="Q27">
        <v>123</v>
      </c>
      <c r="R27">
        <v>4</v>
      </c>
      <c r="S27">
        <v>12</v>
      </c>
      <c r="T27">
        <v>1290</v>
      </c>
      <c r="U27">
        <v>28</v>
      </c>
      <c r="V27">
        <v>7403509</v>
      </c>
      <c r="W27">
        <v>186</v>
      </c>
    </row>
    <row r="28" spans="1:23" x14ac:dyDescent="0.2">
      <c r="A28" t="s">
        <v>85</v>
      </c>
      <c r="B28" t="s">
        <v>157</v>
      </c>
      <c r="C28">
        <v>255.45963144302371</v>
      </c>
      <c r="D28">
        <v>5921</v>
      </c>
      <c r="E28">
        <v>16625</v>
      </c>
      <c r="F28">
        <v>9</v>
      </c>
      <c r="G28">
        <v>9</v>
      </c>
      <c r="H28">
        <v>78903.666666666672</v>
      </c>
      <c r="I28">
        <v>1.4683544303797471</v>
      </c>
      <c r="J28">
        <v>1.3809523809523809</v>
      </c>
      <c r="K28">
        <v>0.94047619047619047</v>
      </c>
      <c r="L28">
        <v>9.3333333333333339</v>
      </c>
      <c r="M28">
        <v>1000000</v>
      </c>
      <c r="N28">
        <v>2</v>
      </c>
      <c r="O28">
        <v>2</v>
      </c>
      <c r="P28">
        <v>79</v>
      </c>
      <c r="Q28">
        <v>84</v>
      </c>
      <c r="R28">
        <v>9</v>
      </c>
      <c r="S28">
        <v>18</v>
      </c>
      <c r="T28">
        <v>1396</v>
      </c>
      <c r="U28">
        <v>142</v>
      </c>
      <c r="V28">
        <v>6627908</v>
      </c>
      <c r="W28">
        <v>116</v>
      </c>
    </row>
    <row r="29" spans="1:23" x14ac:dyDescent="0.2">
      <c r="A29" t="s">
        <v>86</v>
      </c>
      <c r="B29" t="s">
        <v>157</v>
      </c>
      <c r="C29">
        <v>11.418295860290529</v>
      </c>
      <c r="D29">
        <v>558</v>
      </c>
      <c r="E29">
        <v>340</v>
      </c>
      <c r="F29">
        <v>10</v>
      </c>
      <c r="G29">
        <v>10</v>
      </c>
      <c r="H29">
        <v>90.794117647058826</v>
      </c>
      <c r="I29">
        <v>1</v>
      </c>
      <c r="J29">
        <v>0.60784313725490191</v>
      </c>
      <c r="K29">
        <v>0.60784313725490191</v>
      </c>
      <c r="L29">
        <v>10.199999999999999</v>
      </c>
      <c r="M29">
        <v>855</v>
      </c>
      <c r="N29">
        <v>1</v>
      </c>
      <c r="O29">
        <v>1</v>
      </c>
      <c r="P29">
        <v>62</v>
      </c>
      <c r="Q29">
        <v>102</v>
      </c>
      <c r="R29">
        <v>10</v>
      </c>
      <c r="S29">
        <v>10</v>
      </c>
      <c r="T29">
        <v>958</v>
      </c>
      <c r="U29">
        <v>90</v>
      </c>
      <c r="V29">
        <v>9261</v>
      </c>
      <c r="W29">
        <v>62</v>
      </c>
    </row>
    <row r="30" spans="1:23" x14ac:dyDescent="0.2">
      <c r="A30" t="s">
        <v>91</v>
      </c>
      <c r="B30" t="s">
        <v>157</v>
      </c>
      <c r="C30">
        <v>80.63519811630249</v>
      </c>
      <c r="D30">
        <v>719</v>
      </c>
      <c r="E30">
        <v>1749</v>
      </c>
      <c r="F30">
        <v>8</v>
      </c>
      <c r="G30">
        <v>8</v>
      </c>
      <c r="H30">
        <v>48.642857142857153</v>
      </c>
      <c r="I30">
        <v>1.119565217391304</v>
      </c>
      <c r="J30">
        <v>0.73571428571428577</v>
      </c>
      <c r="K30">
        <v>0.65714285714285714</v>
      </c>
      <c r="L30">
        <v>17.5</v>
      </c>
      <c r="M30">
        <v>1369</v>
      </c>
      <c r="N30">
        <v>2</v>
      </c>
      <c r="O30">
        <v>1</v>
      </c>
      <c r="P30">
        <v>92</v>
      </c>
      <c r="Q30">
        <v>140</v>
      </c>
      <c r="R30">
        <v>8</v>
      </c>
      <c r="S30">
        <v>16</v>
      </c>
      <c r="T30">
        <v>2137</v>
      </c>
      <c r="U30">
        <v>116</v>
      </c>
      <c r="V30">
        <v>6810</v>
      </c>
      <c r="W30">
        <v>103</v>
      </c>
    </row>
    <row r="31" spans="1:23" x14ac:dyDescent="0.2">
      <c r="A31" t="s">
        <v>93</v>
      </c>
      <c r="B31" t="s">
        <v>157</v>
      </c>
      <c r="C31">
        <v>308.55765247344971</v>
      </c>
      <c r="D31">
        <v>1906</v>
      </c>
      <c r="E31">
        <v>18053</v>
      </c>
      <c r="F31">
        <v>13</v>
      </c>
      <c r="G31">
        <v>12</v>
      </c>
      <c r="H31">
        <v>7850.2794117647063</v>
      </c>
      <c r="I31">
        <v>1.104166666666667</v>
      </c>
      <c r="J31">
        <v>0.77941176470588236</v>
      </c>
      <c r="K31">
        <v>0.70588235294117652</v>
      </c>
      <c r="L31">
        <v>22.666666666666671</v>
      </c>
      <c r="M31">
        <v>1030301</v>
      </c>
      <c r="N31">
        <v>3</v>
      </c>
      <c r="O31">
        <v>1</v>
      </c>
      <c r="P31">
        <v>192</v>
      </c>
      <c r="Q31">
        <v>272</v>
      </c>
      <c r="R31">
        <v>12</v>
      </c>
      <c r="S31">
        <v>15</v>
      </c>
      <c r="T31">
        <v>3868</v>
      </c>
      <c r="U31">
        <v>156</v>
      </c>
      <c r="V31">
        <v>2135276</v>
      </c>
      <c r="W31">
        <v>212</v>
      </c>
    </row>
    <row r="32" spans="1:23" x14ac:dyDescent="0.2">
      <c r="A32" t="s">
        <v>94</v>
      </c>
      <c r="B32" t="s">
        <v>157</v>
      </c>
      <c r="C32">
        <v>20.50856876373291</v>
      </c>
      <c r="D32">
        <v>415</v>
      </c>
      <c r="E32">
        <v>1965</v>
      </c>
      <c r="F32">
        <v>7</v>
      </c>
      <c r="G32">
        <v>6</v>
      </c>
      <c r="H32">
        <v>21</v>
      </c>
      <c r="I32">
        <v>1.061728395061728</v>
      </c>
      <c r="J32">
        <v>0.81132075471698117</v>
      </c>
      <c r="K32">
        <v>0.76415094339622647</v>
      </c>
      <c r="L32">
        <v>17.666666666666671</v>
      </c>
      <c r="M32">
        <v>37</v>
      </c>
      <c r="N32">
        <v>6</v>
      </c>
      <c r="O32">
        <v>2</v>
      </c>
      <c r="P32">
        <v>81</v>
      </c>
      <c r="Q32">
        <v>106</v>
      </c>
      <c r="R32">
        <v>6</v>
      </c>
      <c r="S32">
        <v>11</v>
      </c>
      <c r="T32">
        <v>1080</v>
      </c>
      <c r="U32">
        <v>54</v>
      </c>
      <c r="V32">
        <v>2226</v>
      </c>
      <c r="W32">
        <v>86</v>
      </c>
    </row>
    <row r="33" spans="1:23" x14ac:dyDescent="0.2">
      <c r="A33" t="s">
        <v>95</v>
      </c>
      <c r="B33" t="s">
        <v>157</v>
      </c>
      <c r="C33">
        <v>81.022395133972168</v>
      </c>
      <c r="D33">
        <v>348</v>
      </c>
      <c r="E33">
        <v>2585</v>
      </c>
      <c r="F33">
        <v>5</v>
      </c>
      <c r="G33">
        <v>5</v>
      </c>
      <c r="H33">
        <v>1191.574660633484</v>
      </c>
      <c r="I33">
        <v>1.657142857142857</v>
      </c>
      <c r="J33">
        <v>1.312217194570136</v>
      </c>
      <c r="K33">
        <v>0.79185520361990946</v>
      </c>
      <c r="L33">
        <v>44.2</v>
      </c>
      <c r="M33">
        <v>24389</v>
      </c>
      <c r="N33">
        <v>3</v>
      </c>
      <c r="O33">
        <v>2</v>
      </c>
      <c r="P33">
        <v>175</v>
      </c>
      <c r="Q33">
        <v>221</v>
      </c>
      <c r="R33">
        <v>5</v>
      </c>
      <c r="S33">
        <v>15</v>
      </c>
      <c r="T33">
        <v>3025</v>
      </c>
      <c r="U33">
        <v>60</v>
      </c>
      <c r="V33">
        <v>263338</v>
      </c>
      <c r="W33">
        <v>290</v>
      </c>
    </row>
    <row r="34" spans="1:23" x14ac:dyDescent="0.2">
      <c r="A34" t="s">
        <v>100</v>
      </c>
      <c r="B34" t="s">
        <v>157</v>
      </c>
      <c r="C34">
        <v>113.3221280574799</v>
      </c>
      <c r="D34">
        <v>2784</v>
      </c>
      <c r="E34">
        <v>2835</v>
      </c>
      <c r="F34">
        <v>12</v>
      </c>
      <c r="G34">
        <v>12</v>
      </c>
      <c r="H34">
        <v>3353.5376344086021</v>
      </c>
      <c r="I34">
        <v>1.166666666666667</v>
      </c>
      <c r="J34">
        <v>0.90322580645161288</v>
      </c>
      <c r="K34">
        <v>0.77419354838709675</v>
      </c>
      <c r="L34">
        <v>7.75</v>
      </c>
      <c r="M34">
        <v>39701</v>
      </c>
      <c r="N34">
        <v>2</v>
      </c>
      <c r="O34">
        <v>2</v>
      </c>
      <c r="P34">
        <v>72</v>
      </c>
      <c r="Q34">
        <v>93</v>
      </c>
      <c r="R34">
        <v>12</v>
      </c>
      <c r="S34">
        <v>24</v>
      </c>
      <c r="T34">
        <v>2148</v>
      </c>
      <c r="U34">
        <v>266</v>
      </c>
      <c r="V34">
        <v>311879</v>
      </c>
      <c r="W34">
        <v>84</v>
      </c>
    </row>
    <row r="35" spans="1:23" x14ac:dyDescent="0.2">
      <c r="A35" t="s">
        <v>104</v>
      </c>
      <c r="B35" t="s">
        <v>157</v>
      </c>
      <c r="C35">
        <v>252.60204005241391</v>
      </c>
      <c r="D35">
        <v>1462</v>
      </c>
      <c r="E35">
        <v>7306</v>
      </c>
      <c r="F35">
        <v>8</v>
      </c>
      <c r="G35">
        <v>6</v>
      </c>
      <c r="H35">
        <v>95.793478260869563</v>
      </c>
      <c r="I35">
        <v>1.249169435215947</v>
      </c>
      <c r="J35">
        <v>1.0217391304347829</v>
      </c>
      <c r="K35">
        <v>0.81793478260869568</v>
      </c>
      <c r="L35">
        <v>61.333333333333343</v>
      </c>
      <c r="M35">
        <v>2809</v>
      </c>
      <c r="N35">
        <v>2</v>
      </c>
      <c r="O35">
        <v>1</v>
      </c>
      <c r="P35">
        <v>301</v>
      </c>
      <c r="Q35">
        <v>368</v>
      </c>
      <c r="R35">
        <v>6</v>
      </c>
      <c r="S35">
        <v>14</v>
      </c>
      <c r="T35">
        <v>4776</v>
      </c>
      <c r="U35">
        <v>72</v>
      </c>
      <c r="V35">
        <v>35252</v>
      </c>
      <c r="W35">
        <v>376</v>
      </c>
    </row>
    <row r="36" spans="1:23" x14ac:dyDescent="0.2">
      <c r="A36" t="s">
        <v>105</v>
      </c>
      <c r="B36" t="s">
        <v>157</v>
      </c>
      <c r="C36">
        <v>15.01265287399292</v>
      </c>
      <c r="D36">
        <v>306</v>
      </c>
      <c r="E36">
        <v>2194</v>
      </c>
      <c r="F36">
        <v>5</v>
      </c>
      <c r="G36">
        <v>5</v>
      </c>
      <c r="H36">
        <v>14.72727272727273</v>
      </c>
      <c r="I36">
        <v>1.444444444444444</v>
      </c>
      <c r="J36">
        <v>1.1818181818181821</v>
      </c>
      <c r="K36">
        <v>0.81818181818181823</v>
      </c>
      <c r="L36">
        <v>11</v>
      </c>
      <c r="M36">
        <v>29</v>
      </c>
      <c r="N36">
        <v>2</v>
      </c>
      <c r="O36">
        <v>2</v>
      </c>
      <c r="P36">
        <v>45</v>
      </c>
      <c r="Q36">
        <v>55</v>
      </c>
      <c r="R36">
        <v>5</v>
      </c>
      <c r="S36">
        <v>10</v>
      </c>
      <c r="T36">
        <v>485</v>
      </c>
      <c r="U36">
        <v>36</v>
      </c>
      <c r="V36">
        <v>810</v>
      </c>
      <c r="W36">
        <v>65</v>
      </c>
    </row>
    <row r="37" spans="1:23" x14ac:dyDescent="0.2">
      <c r="A37" t="s">
        <v>106</v>
      </c>
      <c r="B37" t="s">
        <v>157</v>
      </c>
      <c r="C37">
        <v>13.578731536865231</v>
      </c>
      <c r="D37">
        <v>273</v>
      </c>
      <c r="E37">
        <v>4129</v>
      </c>
      <c r="F37">
        <v>7</v>
      </c>
      <c r="G37">
        <v>6</v>
      </c>
      <c r="H37">
        <v>51393218.934959352</v>
      </c>
      <c r="I37">
        <v>1.0515463917525769</v>
      </c>
      <c r="J37">
        <v>0.82926829268292679</v>
      </c>
      <c r="K37">
        <v>0.78861788617886175</v>
      </c>
      <c r="L37">
        <v>20.5</v>
      </c>
      <c r="M37">
        <v>6321363049</v>
      </c>
      <c r="N37">
        <v>6</v>
      </c>
      <c r="O37">
        <v>1</v>
      </c>
      <c r="P37">
        <v>97</v>
      </c>
      <c r="Q37">
        <v>123</v>
      </c>
      <c r="R37">
        <v>6</v>
      </c>
      <c r="S37">
        <v>12</v>
      </c>
      <c r="T37">
        <v>1374</v>
      </c>
      <c r="U37">
        <v>61</v>
      </c>
      <c r="V37">
        <v>6321365929</v>
      </c>
      <c r="W37">
        <v>102</v>
      </c>
    </row>
    <row r="38" spans="1:23" x14ac:dyDescent="0.2">
      <c r="A38" t="s">
        <v>108</v>
      </c>
      <c r="B38" t="s">
        <v>157</v>
      </c>
      <c r="C38">
        <v>369.58710527420038</v>
      </c>
      <c r="D38">
        <v>1872</v>
      </c>
      <c r="E38">
        <v>3347</v>
      </c>
      <c r="F38">
        <v>8</v>
      </c>
      <c r="G38">
        <v>8</v>
      </c>
      <c r="H38">
        <v>346.36111111111109</v>
      </c>
      <c r="I38">
        <v>1.041450777202072</v>
      </c>
      <c r="J38">
        <v>0.69791666666666663</v>
      </c>
      <c r="K38">
        <v>0.67013888888888884</v>
      </c>
      <c r="L38">
        <v>36</v>
      </c>
      <c r="M38">
        <v>9899</v>
      </c>
      <c r="N38">
        <v>2</v>
      </c>
      <c r="O38">
        <v>1</v>
      </c>
      <c r="P38">
        <v>193</v>
      </c>
      <c r="Q38">
        <v>288</v>
      </c>
      <c r="R38">
        <v>8</v>
      </c>
      <c r="S38">
        <v>16</v>
      </c>
      <c r="T38">
        <v>4407</v>
      </c>
      <c r="U38">
        <v>116</v>
      </c>
      <c r="V38">
        <v>99752</v>
      </c>
      <c r="W38">
        <v>201</v>
      </c>
    </row>
    <row r="39" spans="1:23" x14ac:dyDescent="0.2">
      <c r="A39" t="s">
        <v>109</v>
      </c>
      <c r="B39" t="s">
        <v>157</v>
      </c>
      <c r="C39">
        <v>5393.4392514228821</v>
      </c>
      <c r="D39">
        <v>80</v>
      </c>
      <c r="E39">
        <v>7525</v>
      </c>
      <c r="F39">
        <v>4</v>
      </c>
      <c r="G39">
        <v>4</v>
      </c>
      <c r="H39">
        <v>48054.417142857143</v>
      </c>
      <c r="I39">
        <v>1.6481481481481479</v>
      </c>
      <c r="J39">
        <v>1.525714285714286</v>
      </c>
      <c r="K39">
        <v>0.92571428571428571</v>
      </c>
      <c r="L39">
        <v>43.75</v>
      </c>
      <c r="M39">
        <v>2985984</v>
      </c>
      <c r="N39">
        <v>3</v>
      </c>
      <c r="O39">
        <v>3</v>
      </c>
      <c r="P39">
        <v>162</v>
      </c>
      <c r="Q39">
        <v>175</v>
      </c>
      <c r="R39">
        <v>4</v>
      </c>
      <c r="S39">
        <v>12</v>
      </c>
      <c r="T39">
        <v>1833</v>
      </c>
      <c r="U39">
        <v>28</v>
      </c>
      <c r="V39">
        <v>8409523</v>
      </c>
      <c r="W39">
        <v>267</v>
      </c>
    </row>
    <row r="40" spans="1:23" x14ac:dyDescent="0.2">
      <c r="A40" t="s">
        <v>110</v>
      </c>
      <c r="B40" t="s">
        <v>157</v>
      </c>
      <c r="C40">
        <v>283.20229744911188</v>
      </c>
      <c r="D40">
        <v>2083</v>
      </c>
      <c r="E40">
        <v>3422</v>
      </c>
      <c r="F40">
        <v>9</v>
      </c>
      <c r="G40">
        <v>9</v>
      </c>
      <c r="H40">
        <v>34.82236842105263</v>
      </c>
      <c r="I40">
        <v>1</v>
      </c>
      <c r="J40">
        <v>0.71052631578947367</v>
      </c>
      <c r="K40">
        <v>0.71052631578947367</v>
      </c>
      <c r="L40">
        <v>16.888888888888889</v>
      </c>
      <c r="M40">
        <v>61</v>
      </c>
      <c r="N40">
        <v>1</v>
      </c>
      <c r="O40">
        <v>1</v>
      </c>
      <c r="P40">
        <v>108</v>
      </c>
      <c r="Q40">
        <v>152</v>
      </c>
      <c r="R40">
        <v>9</v>
      </c>
      <c r="S40">
        <v>9</v>
      </c>
      <c r="T40">
        <v>1260</v>
      </c>
      <c r="U40">
        <v>72</v>
      </c>
      <c r="V40">
        <v>5293</v>
      </c>
      <c r="W40">
        <v>108</v>
      </c>
    </row>
    <row r="41" spans="1:23" x14ac:dyDescent="0.2">
      <c r="A41" t="s">
        <v>112</v>
      </c>
      <c r="B41" t="s">
        <v>157</v>
      </c>
      <c r="C41">
        <v>168.5715479850769</v>
      </c>
      <c r="D41">
        <v>1218</v>
      </c>
      <c r="E41">
        <v>1074</v>
      </c>
      <c r="F41">
        <v>9</v>
      </c>
      <c r="G41">
        <v>9</v>
      </c>
      <c r="H41">
        <v>23644490765757.969</v>
      </c>
      <c r="I41">
        <v>1.05521472392638</v>
      </c>
      <c r="J41">
        <v>0.66926070038910501</v>
      </c>
      <c r="K41">
        <v>0.63424124513618674</v>
      </c>
      <c r="L41">
        <v>28.555555555555561</v>
      </c>
      <c r="M41">
        <v>1212982689600000</v>
      </c>
      <c r="N41">
        <v>2</v>
      </c>
      <c r="O41">
        <v>1</v>
      </c>
      <c r="P41">
        <v>163</v>
      </c>
      <c r="Q41">
        <v>257</v>
      </c>
      <c r="R41">
        <v>9</v>
      </c>
      <c r="S41">
        <v>18</v>
      </c>
      <c r="T41">
        <v>4454</v>
      </c>
      <c r="U41">
        <v>150</v>
      </c>
      <c r="V41">
        <v>6076634126799799</v>
      </c>
      <c r="W41">
        <v>172</v>
      </c>
    </row>
    <row r="42" spans="1:23" x14ac:dyDescent="0.2">
      <c r="A42" t="s">
        <v>114</v>
      </c>
      <c r="B42" t="s">
        <v>157</v>
      </c>
      <c r="C42">
        <v>1.2498335838317871</v>
      </c>
      <c r="D42">
        <v>4</v>
      </c>
      <c r="E42">
        <v>119</v>
      </c>
      <c r="F42">
        <v>3</v>
      </c>
      <c r="G42">
        <v>2</v>
      </c>
      <c r="H42">
        <v>122335978.93939389</v>
      </c>
      <c r="I42">
        <v>5.8636363636363633</v>
      </c>
      <c r="J42">
        <v>3.9090909090909092</v>
      </c>
      <c r="K42">
        <v>0.66666666666666663</v>
      </c>
      <c r="L42">
        <v>16.5</v>
      </c>
      <c r="M42">
        <v>1977326743</v>
      </c>
      <c r="N42">
        <v>11</v>
      </c>
      <c r="O42">
        <v>1</v>
      </c>
      <c r="P42">
        <v>22</v>
      </c>
      <c r="Q42">
        <v>33</v>
      </c>
      <c r="R42">
        <v>2</v>
      </c>
      <c r="S42">
        <v>13</v>
      </c>
      <c r="T42">
        <v>300</v>
      </c>
      <c r="U42">
        <v>4</v>
      </c>
      <c r="V42">
        <v>4037087305</v>
      </c>
      <c r="W42">
        <v>129</v>
      </c>
    </row>
    <row r="43" spans="1:23" x14ac:dyDescent="0.2">
      <c r="A43" t="s">
        <v>116</v>
      </c>
      <c r="B43" t="s">
        <v>157</v>
      </c>
      <c r="C43">
        <v>6.5098941326141357</v>
      </c>
      <c r="D43">
        <v>275</v>
      </c>
      <c r="E43">
        <v>378</v>
      </c>
      <c r="F43">
        <v>8</v>
      </c>
      <c r="G43">
        <v>8</v>
      </c>
      <c r="H43">
        <v>42</v>
      </c>
      <c r="I43">
        <v>1.053191489361702</v>
      </c>
      <c r="J43">
        <v>0.71223021582733814</v>
      </c>
      <c r="K43">
        <v>0.67625899280575541</v>
      </c>
      <c r="L43">
        <v>17.375</v>
      </c>
      <c r="M43">
        <v>284</v>
      </c>
      <c r="N43">
        <v>2</v>
      </c>
      <c r="O43">
        <v>1</v>
      </c>
      <c r="P43">
        <v>94</v>
      </c>
      <c r="Q43">
        <v>139</v>
      </c>
      <c r="R43">
        <v>8</v>
      </c>
      <c r="S43">
        <v>9</v>
      </c>
      <c r="T43">
        <v>1152</v>
      </c>
      <c r="U43">
        <v>59</v>
      </c>
      <c r="V43">
        <v>5838</v>
      </c>
      <c r="W43">
        <v>99</v>
      </c>
    </row>
    <row r="44" spans="1:23" x14ac:dyDescent="0.2">
      <c r="A44" t="s">
        <v>118</v>
      </c>
      <c r="B44" t="s">
        <v>157</v>
      </c>
      <c r="C44">
        <v>6.9907906055450439</v>
      </c>
      <c r="D44">
        <v>659</v>
      </c>
      <c r="E44">
        <v>1273</v>
      </c>
      <c r="F44">
        <v>8</v>
      </c>
      <c r="G44">
        <v>8</v>
      </c>
      <c r="H44">
        <v>22.923809523809521</v>
      </c>
      <c r="I44">
        <v>1</v>
      </c>
      <c r="J44">
        <v>0.6</v>
      </c>
      <c r="K44">
        <v>0.6</v>
      </c>
      <c r="L44">
        <v>13.125</v>
      </c>
      <c r="M44">
        <v>53</v>
      </c>
      <c r="N44">
        <v>1</v>
      </c>
      <c r="O44">
        <v>1</v>
      </c>
      <c r="P44">
        <v>63</v>
      </c>
      <c r="Q44">
        <v>105</v>
      </c>
      <c r="R44">
        <v>8</v>
      </c>
      <c r="S44">
        <v>8</v>
      </c>
      <c r="T44">
        <v>777</v>
      </c>
      <c r="U44">
        <v>56</v>
      </c>
      <c r="V44">
        <v>2407</v>
      </c>
      <c r="W44">
        <v>63</v>
      </c>
    </row>
    <row r="45" spans="1:23" x14ac:dyDescent="0.2">
      <c r="A45" t="s">
        <v>122</v>
      </c>
      <c r="B45" t="s">
        <v>157</v>
      </c>
      <c r="C45">
        <v>22.462019443511959</v>
      </c>
      <c r="D45">
        <v>568</v>
      </c>
      <c r="E45">
        <v>1335</v>
      </c>
      <c r="F45">
        <v>8</v>
      </c>
      <c r="G45">
        <v>8</v>
      </c>
      <c r="H45">
        <v>3622.927419354839</v>
      </c>
      <c r="I45">
        <v>1.590361445783133</v>
      </c>
      <c r="J45">
        <v>1.064516129032258</v>
      </c>
      <c r="K45">
        <v>0.66935483870967738</v>
      </c>
      <c r="L45">
        <v>15.5</v>
      </c>
      <c r="M45">
        <v>148877</v>
      </c>
      <c r="N45">
        <v>4</v>
      </c>
      <c r="O45">
        <v>2</v>
      </c>
      <c r="P45">
        <v>83</v>
      </c>
      <c r="Q45">
        <v>124</v>
      </c>
      <c r="R45">
        <v>8</v>
      </c>
      <c r="S45">
        <v>14</v>
      </c>
      <c r="T45">
        <v>1604</v>
      </c>
      <c r="U45">
        <v>87</v>
      </c>
      <c r="V45">
        <v>449243</v>
      </c>
      <c r="W45">
        <v>132</v>
      </c>
    </row>
    <row r="46" spans="1:23" x14ac:dyDescent="0.2">
      <c r="A46" t="s">
        <v>124</v>
      </c>
      <c r="B46" t="s">
        <v>157</v>
      </c>
      <c r="C46">
        <v>609.41215872764587</v>
      </c>
      <c r="D46">
        <v>2237</v>
      </c>
      <c r="E46">
        <v>7401</v>
      </c>
      <c r="F46">
        <v>9</v>
      </c>
      <c r="G46">
        <v>9</v>
      </c>
      <c r="H46">
        <v>53.561797752808992</v>
      </c>
      <c r="I46">
        <v>1.1025641025641031</v>
      </c>
      <c r="J46">
        <v>0.7247191011235955</v>
      </c>
      <c r="K46">
        <v>0.65730337078651691</v>
      </c>
      <c r="L46">
        <v>19.777777777777779</v>
      </c>
      <c r="M46">
        <v>1681</v>
      </c>
      <c r="N46">
        <v>2</v>
      </c>
      <c r="O46">
        <v>1</v>
      </c>
      <c r="P46">
        <v>117</v>
      </c>
      <c r="Q46">
        <v>178</v>
      </c>
      <c r="R46">
        <v>9</v>
      </c>
      <c r="S46">
        <v>18</v>
      </c>
      <c r="T46">
        <v>3075</v>
      </c>
      <c r="U46">
        <v>149</v>
      </c>
      <c r="V46">
        <v>9534</v>
      </c>
      <c r="W46">
        <v>129</v>
      </c>
    </row>
    <row r="47" spans="1:23" x14ac:dyDescent="0.2">
      <c r="A47" t="s">
        <v>126</v>
      </c>
      <c r="B47" t="s">
        <v>157</v>
      </c>
      <c r="C47">
        <v>7.5223245620727539</v>
      </c>
      <c r="D47">
        <v>423</v>
      </c>
      <c r="E47">
        <v>417</v>
      </c>
      <c r="F47">
        <v>9</v>
      </c>
      <c r="G47">
        <v>9</v>
      </c>
      <c r="H47">
        <v>202.4722222222222</v>
      </c>
      <c r="I47">
        <v>1.1475409836065571</v>
      </c>
      <c r="J47">
        <v>0.64814814814814814</v>
      </c>
      <c r="K47">
        <v>0.56481481481481477</v>
      </c>
      <c r="L47">
        <v>12</v>
      </c>
      <c r="M47">
        <v>3721</v>
      </c>
      <c r="N47">
        <v>2</v>
      </c>
      <c r="O47">
        <v>1</v>
      </c>
      <c r="P47">
        <v>61</v>
      </c>
      <c r="Q47">
        <v>108</v>
      </c>
      <c r="R47">
        <v>9</v>
      </c>
      <c r="S47">
        <v>18</v>
      </c>
      <c r="T47">
        <v>1874</v>
      </c>
      <c r="U47">
        <v>150</v>
      </c>
      <c r="V47">
        <v>21867</v>
      </c>
      <c r="W47">
        <v>70</v>
      </c>
    </row>
    <row r="48" spans="1:23" x14ac:dyDescent="0.2">
      <c r="A48" t="s">
        <v>127</v>
      </c>
      <c r="B48" t="s">
        <v>157</v>
      </c>
      <c r="C48">
        <v>266.52049398422241</v>
      </c>
      <c r="D48">
        <v>3313</v>
      </c>
      <c r="E48">
        <v>3699</v>
      </c>
      <c r="F48">
        <v>12</v>
      </c>
      <c r="G48">
        <v>12</v>
      </c>
      <c r="H48">
        <v>44.69047619047619</v>
      </c>
      <c r="I48">
        <v>1</v>
      </c>
      <c r="J48">
        <v>0.63492063492063489</v>
      </c>
      <c r="K48">
        <v>0.63492063492063489</v>
      </c>
      <c r="L48">
        <v>21</v>
      </c>
      <c r="M48">
        <v>89</v>
      </c>
      <c r="N48">
        <v>1</v>
      </c>
      <c r="O48">
        <v>1</v>
      </c>
      <c r="P48">
        <v>160</v>
      </c>
      <c r="Q48">
        <v>252</v>
      </c>
      <c r="R48">
        <v>12</v>
      </c>
      <c r="S48">
        <v>12</v>
      </c>
      <c r="T48">
        <v>2864</v>
      </c>
      <c r="U48">
        <v>132</v>
      </c>
      <c r="V48">
        <v>11262</v>
      </c>
      <c r="W48">
        <v>160</v>
      </c>
    </row>
    <row r="49" spans="1:23" x14ac:dyDescent="0.2">
      <c r="A49" t="s">
        <v>132</v>
      </c>
      <c r="B49" t="s">
        <v>157</v>
      </c>
      <c r="C49">
        <v>2.7079026699066162</v>
      </c>
      <c r="D49">
        <v>47</v>
      </c>
      <c r="E49">
        <v>193</v>
      </c>
      <c r="F49">
        <v>4</v>
      </c>
      <c r="G49">
        <v>4</v>
      </c>
      <c r="H49">
        <v>158701.28571428571</v>
      </c>
      <c r="I49">
        <v>3.5</v>
      </c>
      <c r="J49">
        <v>2</v>
      </c>
      <c r="K49">
        <v>0.5714285714285714</v>
      </c>
      <c r="L49">
        <v>7</v>
      </c>
      <c r="M49">
        <v>2476099</v>
      </c>
      <c r="N49">
        <v>5</v>
      </c>
      <c r="O49">
        <v>1</v>
      </c>
      <c r="P49">
        <v>16</v>
      </c>
      <c r="Q49">
        <v>28</v>
      </c>
      <c r="R49">
        <v>4</v>
      </c>
      <c r="S49">
        <v>20</v>
      </c>
      <c r="T49">
        <v>504</v>
      </c>
      <c r="U49">
        <v>66</v>
      </c>
      <c r="V49">
        <v>4443636</v>
      </c>
      <c r="W49">
        <v>56</v>
      </c>
    </row>
    <row r="50" spans="1:23" x14ac:dyDescent="0.2">
      <c r="A50" t="s">
        <v>133</v>
      </c>
      <c r="B50" t="s">
        <v>157</v>
      </c>
      <c r="C50">
        <v>4.3276536464691162</v>
      </c>
      <c r="D50">
        <v>318</v>
      </c>
      <c r="E50">
        <v>72</v>
      </c>
      <c r="F50">
        <v>9</v>
      </c>
      <c r="G50">
        <v>9</v>
      </c>
      <c r="H50">
        <v>12353.747368421051</v>
      </c>
      <c r="I50">
        <v>1.671428571428571</v>
      </c>
      <c r="J50">
        <v>1.2315789473684211</v>
      </c>
      <c r="K50">
        <v>0.73684210526315785</v>
      </c>
      <c r="L50">
        <v>10.555555555555561</v>
      </c>
      <c r="M50">
        <v>226981</v>
      </c>
      <c r="N50">
        <v>4</v>
      </c>
      <c r="O50">
        <v>3</v>
      </c>
      <c r="P50">
        <v>70</v>
      </c>
      <c r="Q50">
        <v>95</v>
      </c>
      <c r="R50">
        <v>9</v>
      </c>
      <c r="S50">
        <v>24</v>
      </c>
      <c r="T50">
        <v>2163</v>
      </c>
      <c r="U50">
        <v>187</v>
      </c>
      <c r="V50">
        <v>1173606</v>
      </c>
      <c r="W50">
        <v>117</v>
      </c>
    </row>
    <row r="51" spans="1:23" x14ac:dyDescent="0.2">
      <c r="A51" t="s">
        <v>135</v>
      </c>
      <c r="B51" t="s">
        <v>157</v>
      </c>
      <c r="C51">
        <v>2247.4632723331451</v>
      </c>
      <c r="D51">
        <v>7170</v>
      </c>
      <c r="E51">
        <v>15946</v>
      </c>
      <c r="F51">
        <v>10</v>
      </c>
      <c r="G51">
        <v>10</v>
      </c>
      <c r="H51">
        <v>40.375661375661373</v>
      </c>
      <c r="I51">
        <v>1</v>
      </c>
      <c r="J51">
        <v>0.95238095238095233</v>
      </c>
      <c r="K51">
        <v>0.95238095238095233</v>
      </c>
      <c r="L51">
        <v>18.899999999999999</v>
      </c>
      <c r="M51">
        <v>71</v>
      </c>
      <c r="N51">
        <v>1</v>
      </c>
      <c r="O51">
        <v>2</v>
      </c>
      <c r="P51">
        <v>180</v>
      </c>
      <c r="Q51">
        <v>189</v>
      </c>
      <c r="R51">
        <v>10</v>
      </c>
      <c r="S51">
        <v>10</v>
      </c>
      <c r="T51">
        <v>1710</v>
      </c>
      <c r="U51">
        <v>81</v>
      </c>
      <c r="V51">
        <v>7631</v>
      </c>
      <c r="W51">
        <v>180</v>
      </c>
    </row>
    <row r="52" spans="1:23" x14ac:dyDescent="0.2">
      <c r="A52" t="s">
        <v>137</v>
      </c>
      <c r="B52" t="s">
        <v>157</v>
      </c>
      <c r="C52">
        <v>5282.1062586307526</v>
      </c>
      <c r="D52">
        <v>11905</v>
      </c>
      <c r="E52">
        <v>12333</v>
      </c>
      <c r="F52">
        <v>14</v>
      </c>
      <c r="G52">
        <v>15</v>
      </c>
      <c r="H52">
        <v>58.809686609686608</v>
      </c>
      <c r="I52">
        <v>1</v>
      </c>
      <c r="J52">
        <v>0.7407407407407407</v>
      </c>
      <c r="K52">
        <v>0.7407407407407407</v>
      </c>
      <c r="L52">
        <v>117</v>
      </c>
      <c r="M52">
        <v>107</v>
      </c>
      <c r="N52">
        <v>1</v>
      </c>
      <c r="O52">
        <v>1</v>
      </c>
      <c r="P52">
        <v>1300</v>
      </c>
      <c r="Q52">
        <v>1755</v>
      </c>
      <c r="R52">
        <v>15</v>
      </c>
      <c r="S52">
        <v>14</v>
      </c>
      <c r="T52">
        <v>23270</v>
      </c>
      <c r="U52">
        <v>195</v>
      </c>
      <c r="V52">
        <v>103211</v>
      </c>
      <c r="W52">
        <v>1300</v>
      </c>
    </row>
    <row r="53" spans="1:23" x14ac:dyDescent="0.2">
      <c r="A53" t="s">
        <v>139</v>
      </c>
      <c r="B53" t="s">
        <v>157</v>
      </c>
      <c r="C53">
        <v>29.971397638320919</v>
      </c>
      <c r="D53">
        <v>548</v>
      </c>
      <c r="E53">
        <v>3158</v>
      </c>
      <c r="F53">
        <v>6</v>
      </c>
      <c r="G53">
        <v>6</v>
      </c>
      <c r="H53">
        <v>20.467213114754099</v>
      </c>
      <c r="I53">
        <v>1</v>
      </c>
      <c r="J53">
        <v>0.78688524590163933</v>
      </c>
      <c r="K53">
        <v>0.78688524590163933</v>
      </c>
      <c r="L53">
        <v>20.333333333333329</v>
      </c>
      <c r="M53">
        <v>37</v>
      </c>
      <c r="N53">
        <v>1</v>
      </c>
      <c r="O53">
        <v>1</v>
      </c>
      <c r="P53">
        <v>96</v>
      </c>
      <c r="Q53">
        <v>122</v>
      </c>
      <c r="R53">
        <v>6</v>
      </c>
      <c r="S53">
        <v>6</v>
      </c>
      <c r="T53">
        <v>636</v>
      </c>
      <c r="U53">
        <v>30</v>
      </c>
      <c r="V53">
        <v>2497</v>
      </c>
      <c r="W53">
        <v>96</v>
      </c>
    </row>
    <row r="54" spans="1:23" x14ac:dyDescent="0.2">
      <c r="A54" t="s">
        <v>141</v>
      </c>
      <c r="B54" t="s">
        <v>157</v>
      </c>
      <c r="C54">
        <v>943.05691242218018</v>
      </c>
      <c r="D54">
        <v>2933</v>
      </c>
      <c r="E54">
        <v>6478</v>
      </c>
      <c r="F54">
        <v>13</v>
      </c>
      <c r="G54">
        <v>11</v>
      </c>
      <c r="H54">
        <v>3612.16129032258</v>
      </c>
      <c r="I54">
        <v>1.1875</v>
      </c>
      <c r="J54">
        <v>0.81720430107526887</v>
      </c>
      <c r="K54">
        <v>0.68817204301075274</v>
      </c>
      <c r="L54">
        <v>8.454545454545455</v>
      </c>
      <c r="M54">
        <v>148877</v>
      </c>
      <c r="N54">
        <v>3</v>
      </c>
      <c r="O54">
        <v>1</v>
      </c>
      <c r="P54">
        <v>64</v>
      </c>
      <c r="Q54">
        <v>93</v>
      </c>
      <c r="R54">
        <v>11</v>
      </c>
      <c r="S54">
        <v>19</v>
      </c>
      <c r="T54">
        <v>1691</v>
      </c>
      <c r="U54">
        <v>194</v>
      </c>
      <c r="V54">
        <v>335931</v>
      </c>
      <c r="W54">
        <v>76</v>
      </c>
    </row>
    <row r="55" spans="1:23" x14ac:dyDescent="0.2">
      <c r="A55" t="s">
        <v>142</v>
      </c>
      <c r="B55" t="s">
        <v>157</v>
      </c>
      <c r="C55">
        <v>1138.248934268951</v>
      </c>
      <c r="D55">
        <v>831</v>
      </c>
      <c r="E55">
        <v>5499</v>
      </c>
      <c r="F55">
        <v>6</v>
      </c>
      <c r="G55">
        <v>6</v>
      </c>
      <c r="H55">
        <v>2408872480.3000002</v>
      </c>
      <c r="I55">
        <v>4.5</v>
      </c>
      <c r="J55">
        <v>2.7</v>
      </c>
      <c r="K55">
        <v>0.6</v>
      </c>
      <c r="L55">
        <v>10</v>
      </c>
      <c r="M55">
        <v>94931877133</v>
      </c>
      <c r="N55">
        <v>7</v>
      </c>
      <c r="O55">
        <v>1</v>
      </c>
      <c r="P55">
        <v>36</v>
      </c>
      <c r="Q55">
        <v>60</v>
      </c>
      <c r="R55">
        <v>6</v>
      </c>
      <c r="S55">
        <v>42</v>
      </c>
      <c r="T55">
        <v>2358</v>
      </c>
      <c r="U55">
        <v>225</v>
      </c>
      <c r="V55">
        <v>144532348818</v>
      </c>
      <c r="W55">
        <v>162</v>
      </c>
    </row>
    <row r="56" spans="1:23" x14ac:dyDescent="0.2">
      <c r="A56" t="s">
        <v>145</v>
      </c>
      <c r="B56" t="s">
        <v>157</v>
      </c>
      <c r="C56">
        <v>3024.8965256214142</v>
      </c>
      <c r="D56">
        <v>13867</v>
      </c>
      <c r="E56">
        <v>54552</v>
      </c>
      <c r="F56">
        <v>8</v>
      </c>
      <c r="G56">
        <v>11</v>
      </c>
      <c r="H56">
        <v>37274.654901960777</v>
      </c>
      <c r="I56">
        <v>1.8048780487804881</v>
      </c>
      <c r="J56">
        <v>1.7411764705882351</v>
      </c>
      <c r="K56">
        <v>0.96470588235294119</v>
      </c>
      <c r="L56">
        <v>23.18181818181818</v>
      </c>
      <c r="M56">
        <v>4879681</v>
      </c>
      <c r="N56">
        <v>6</v>
      </c>
      <c r="O56">
        <v>3</v>
      </c>
      <c r="P56">
        <v>246</v>
      </c>
      <c r="Q56">
        <v>255</v>
      </c>
      <c r="R56">
        <v>11</v>
      </c>
      <c r="S56">
        <v>32</v>
      </c>
      <c r="T56">
        <v>7716</v>
      </c>
      <c r="U56">
        <v>317</v>
      </c>
      <c r="V56">
        <v>9505037</v>
      </c>
      <c r="W56">
        <v>444</v>
      </c>
    </row>
    <row r="57" spans="1:23" x14ac:dyDescent="0.2">
      <c r="A57" t="s">
        <v>146</v>
      </c>
      <c r="B57" t="s">
        <v>157</v>
      </c>
      <c r="C57">
        <v>18.382340908050541</v>
      </c>
      <c r="D57">
        <v>100</v>
      </c>
      <c r="E57">
        <v>1827</v>
      </c>
      <c r="F57">
        <v>6</v>
      </c>
      <c r="G57">
        <v>4</v>
      </c>
      <c r="H57">
        <v>21.63636363636364</v>
      </c>
      <c r="I57">
        <v>1.1379310344827589</v>
      </c>
      <c r="J57">
        <v>1</v>
      </c>
      <c r="K57">
        <v>0.87878787878787878</v>
      </c>
      <c r="L57">
        <v>99</v>
      </c>
      <c r="M57">
        <v>37</v>
      </c>
      <c r="N57">
        <v>2</v>
      </c>
      <c r="O57">
        <v>2</v>
      </c>
      <c r="P57">
        <v>348</v>
      </c>
      <c r="Q57">
        <v>396</v>
      </c>
      <c r="R57">
        <v>4</v>
      </c>
      <c r="S57">
        <v>10</v>
      </c>
      <c r="T57">
        <v>3564</v>
      </c>
      <c r="U57">
        <v>28</v>
      </c>
      <c r="V57">
        <v>8568</v>
      </c>
      <c r="W57">
        <v>396</v>
      </c>
    </row>
    <row r="58" spans="1:23" x14ac:dyDescent="0.2">
      <c r="A58" t="s">
        <v>148</v>
      </c>
      <c r="B58" t="s">
        <v>157</v>
      </c>
      <c r="C58">
        <v>303.74981713294977</v>
      </c>
      <c r="D58">
        <v>1435</v>
      </c>
      <c r="E58">
        <v>16723</v>
      </c>
      <c r="F58">
        <v>6</v>
      </c>
      <c r="G58">
        <v>6</v>
      </c>
      <c r="H58">
        <v>17.46153846153846</v>
      </c>
      <c r="I58">
        <v>1.454545454545455</v>
      </c>
      <c r="J58">
        <v>1.2307692307692311</v>
      </c>
      <c r="K58">
        <v>0.84615384615384615</v>
      </c>
      <c r="L58">
        <v>13</v>
      </c>
      <c r="M58">
        <v>37</v>
      </c>
      <c r="N58">
        <v>2</v>
      </c>
      <c r="O58">
        <v>2</v>
      </c>
      <c r="P58">
        <v>66</v>
      </c>
      <c r="Q58">
        <v>78</v>
      </c>
      <c r="R58">
        <v>6</v>
      </c>
      <c r="S58">
        <v>12</v>
      </c>
      <c r="T58">
        <v>840</v>
      </c>
      <c r="U58">
        <v>55</v>
      </c>
      <c r="V58">
        <v>1362</v>
      </c>
      <c r="W58">
        <v>96</v>
      </c>
    </row>
    <row r="59" spans="1:23" x14ac:dyDescent="0.2">
      <c r="A59" t="s">
        <v>149</v>
      </c>
      <c r="B59" t="s">
        <v>157</v>
      </c>
      <c r="C59">
        <v>146.785285949707</v>
      </c>
      <c r="D59">
        <v>1218</v>
      </c>
      <c r="E59">
        <v>1066</v>
      </c>
      <c r="F59">
        <v>9</v>
      </c>
      <c r="G59">
        <v>9</v>
      </c>
      <c r="H59">
        <v>23644490765757.969</v>
      </c>
      <c r="I59">
        <v>1.05521472392638</v>
      </c>
      <c r="J59">
        <v>0.66926070038910501</v>
      </c>
      <c r="K59">
        <v>0.63424124513618674</v>
      </c>
      <c r="L59">
        <v>28.555555555555561</v>
      </c>
      <c r="M59">
        <v>1212982689600000</v>
      </c>
      <c r="N59">
        <v>2</v>
      </c>
      <c r="O59">
        <v>1</v>
      </c>
      <c r="P59">
        <v>163</v>
      </c>
      <c r="Q59">
        <v>257</v>
      </c>
      <c r="R59">
        <v>9</v>
      </c>
      <c r="S59">
        <v>18</v>
      </c>
      <c r="T59">
        <v>4454</v>
      </c>
      <c r="U59">
        <v>150</v>
      </c>
      <c r="V59">
        <v>6076634126799799</v>
      </c>
      <c r="W59">
        <v>172</v>
      </c>
    </row>
    <row r="60" spans="1:23" x14ac:dyDescent="0.2">
      <c r="A60" t="s">
        <v>150</v>
      </c>
      <c r="B60" t="s">
        <v>157</v>
      </c>
      <c r="C60">
        <v>452.89646482467651</v>
      </c>
      <c r="D60">
        <v>2155</v>
      </c>
      <c r="E60">
        <v>3782</v>
      </c>
      <c r="F60">
        <v>11</v>
      </c>
      <c r="G60">
        <v>11</v>
      </c>
      <c r="H60">
        <v>322.46575342465752</v>
      </c>
      <c r="I60">
        <v>1.2325581395348839</v>
      </c>
      <c r="J60">
        <v>0.72602739726027399</v>
      </c>
      <c r="K60">
        <v>0.58904109589041098</v>
      </c>
      <c r="L60">
        <v>6.6363636363636367</v>
      </c>
      <c r="M60">
        <v>5329</v>
      </c>
      <c r="N60">
        <v>2</v>
      </c>
      <c r="O60">
        <v>1</v>
      </c>
      <c r="P60">
        <v>43</v>
      </c>
      <c r="Q60">
        <v>73</v>
      </c>
      <c r="R60">
        <v>11</v>
      </c>
      <c r="S60">
        <v>21</v>
      </c>
      <c r="T60">
        <v>1480</v>
      </c>
      <c r="U60">
        <v>215</v>
      </c>
      <c r="V60">
        <v>23540</v>
      </c>
      <c r="W60">
        <v>53</v>
      </c>
    </row>
    <row r="61" spans="1:23" x14ac:dyDescent="0.2">
      <c r="A61" t="s">
        <v>154</v>
      </c>
      <c r="B61" t="s">
        <v>157</v>
      </c>
      <c r="C61">
        <v>3.3799118995666499</v>
      </c>
      <c r="D61">
        <v>39</v>
      </c>
      <c r="E61">
        <v>158</v>
      </c>
      <c r="F61">
        <v>5</v>
      </c>
      <c r="G61">
        <v>4</v>
      </c>
      <c r="H61">
        <v>869.0526315789474</v>
      </c>
      <c r="I61">
        <v>1.8269230769230771</v>
      </c>
      <c r="J61">
        <v>2</v>
      </c>
      <c r="K61">
        <v>1.094736842105263</v>
      </c>
      <c r="L61">
        <v>23.75</v>
      </c>
      <c r="M61">
        <v>12167</v>
      </c>
      <c r="N61">
        <v>4</v>
      </c>
      <c r="O61">
        <v>3</v>
      </c>
      <c r="P61">
        <v>104</v>
      </c>
      <c r="Q61">
        <v>95</v>
      </c>
      <c r="R61">
        <v>4</v>
      </c>
      <c r="S61">
        <v>13</v>
      </c>
      <c r="T61">
        <v>1045</v>
      </c>
      <c r="U61">
        <v>30</v>
      </c>
      <c r="V61">
        <v>82560</v>
      </c>
      <c r="W61">
        <v>190</v>
      </c>
    </row>
    <row r="62" spans="1:23" x14ac:dyDescent="0.2">
      <c r="A62" t="s">
        <v>155</v>
      </c>
      <c r="B62" t="s">
        <v>157</v>
      </c>
      <c r="C62">
        <v>8.0885004997253418</v>
      </c>
      <c r="D62">
        <v>4951</v>
      </c>
      <c r="E62">
        <v>6886</v>
      </c>
      <c r="F62">
        <v>16</v>
      </c>
      <c r="G62">
        <v>16</v>
      </c>
      <c r="H62">
        <v>287.02958579881658</v>
      </c>
      <c r="I62">
        <v>1.032258064516129</v>
      </c>
      <c r="J62">
        <v>0.75739644970414199</v>
      </c>
      <c r="K62">
        <v>0.73372781065088755</v>
      </c>
      <c r="L62">
        <v>10.5625</v>
      </c>
      <c r="M62">
        <v>17161</v>
      </c>
      <c r="N62">
        <v>2</v>
      </c>
      <c r="O62">
        <v>1</v>
      </c>
      <c r="P62">
        <v>124</v>
      </c>
      <c r="Q62">
        <v>169</v>
      </c>
      <c r="R62">
        <v>16</v>
      </c>
      <c r="S62">
        <v>20</v>
      </c>
      <c r="T62">
        <v>3252</v>
      </c>
      <c r="U62">
        <v>300</v>
      </c>
      <c r="V62">
        <v>48508</v>
      </c>
      <c r="W62">
        <v>128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65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162</v>
      </c>
      <c r="B2" t="s">
        <v>813</v>
      </c>
      <c r="C2" t="s">
        <v>159</v>
      </c>
      <c r="D2" t="s">
        <v>159</v>
      </c>
      <c r="E2" t="s">
        <v>159</v>
      </c>
      <c r="F2" t="s">
        <v>159</v>
      </c>
      <c r="G2" t="s">
        <v>159</v>
      </c>
      <c r="H2" t="s">
        <v>159</v>
      </c>
      <c r="I2" t="s">
        <v>159</v>
      </c>
      <c r="J2" t="s">
        <v>159</v>
      </c>
      <c r="K2" t="s">
        <v>159</v>
      </c>
      <c r="L2" t="s">
        <v>159</v>
      </c>
      <c r="M2" t="s">
        <v>159</v>
      </c>
      <c r="N2" t="s">
        <v>159</v>
      </c>
      <c r="O2" t="s">
        <v>159</v>
      </c>
      <c r="P2" t="s">
        <v>159</v>
      </c>
      <c r="Q2" t="s">
        <v>159</v>
      </c>
      <c r="R2" t="s">
        <v>159</v>
      </c>
      <c r="S2" t="s">
        <v>159</v>
      </c>
      <c r="T2" t="s">
        <v>159</v>
      </c>
      <c r="U2" t="s">
        <v>159</v>
      </c>
      <c r="V2" t="s">
        <v>159</v>
      </c>
      <c r="W2" t="s">
        <v>159</v>
      </c>
    </row>
    <row r="3" spans="1:23" x14ac:dyDescent="0.2">
      <c r="A3" t="s">
        <v>1156</v>
      </c>
      <c r="B3" t="s">
        <v>157</v>
      </c>
      <c r="C3">
        <v>3.8940939903259282</v>
      </c>
      <c r="D3">
        <v>4951</v>
      </c>
      <c r="E3">
        <v>6795</v>
      </c>
      <c r="F3">
        <v>17</v>
      </c>
      <c r="G3">
        <v>16</v>
      </c>
      <c r="H3">
        <v>0</v>
      </c>
      <c r="I3">
        <v>1.032258064516129</v>
      </c>
      <c r="J3">
        <v>2</v>
      </c>
      <c r="K3">
        <v>1.9375</v>
      </c>
      <c r="L3">
        <v>4</v>
      </c>
      <c r="M3">
        <v>0</v>
      </c>
      <c r="N3">
        <v>2</v>
      </c>
      <c r="O3">
        <v>2</v>
      </c>
      <c r="P3">
        <v>124</v>
      </c>
      <c r="Q3">
        <v>64</v>
      </c>
      <c r="R3">
        <v>16</v>
      </c>
      <c r="S3">
        <v>20</v>
      </c>
      <c r="T3">
        <v>1152</v>
      </c>
      <c r="U3">
        <v>288</v>
      </c>
      <c r="V3">
        <v>0</v>
      </c>
      <c r="W3">
        <v>128</v>
      </c>
    </row>
    <row r="4" spans="1:23" x14ac:dyDescent="0.2">
      <c r="A4" t="s">
        <v>1157</v>
      </c>
      <c r="B4" t="s">
        <v>157</v>
      </c>
      <c r="C4">
        <v>4.6563224792480469</v>
      </c>
      <c r="D4">
        <v>199</v>
      </c>
      <c r="E4">
        <v>396</v>
      </c>
      <c r="F4">
        <v>7</v>
      </c>
      <c r="G4">
        <v>7</v>
      </c>
      <c r="H4">
        <v>7.2181818181818178</v>
      </c>
      <c r="I4">
        <v>1.653846153846154</v>
      </c>
      <c r="J4">
        <v>2.3454545454545448</v>
      </c>
      <c r="K4">
        <v>1.418181818181818</v>
      </c>
      <c r="L4">
        <v>7.8571428571428568</v>
      </c>
      <c r="M4">
        <v>36</v>
      </c>
      <c r="N4">
        <v>4</v>
      </c>
      <c r="O4">
        <v>4</v>
      </c>
      <c r="P4">
        <v>78</v>
      </c>
      <c r="Q4">
        <v>55</v>
      </c>
      <c r="R4">
        <v>7</v>
      </c>
      <c r="S4">
        <v>14</v>
      </c>
      <c r="T4">
        <v>641</v>
      </c>
      <c r="U4">
        <v>74</v>
      </c>
      <c r="V4">
        <v>397</v>
      </c>
      <c r="W4">
        <v>129</v>
      </c>
    </row>
    <row r="5" spans="1:23" x14ac:dyDescent="0.2">
      <c r="A5" t="s">
        <v>23</v>
      </c>
      <c r="B5" t="s">
        <v>157</v>
      </c>
      <c r="C5">
        <v>62.11402702331543</v>
      </c>
      <c r="D5">
        <v>858</v>
      </c>
      <c r="E5">
        <v>1100</v>
      </c>
      <c r="F5">
        <v>8</v>
      </c>
      <c r="G5">
        <v>8</v>
      </c>
      <c r="H5">
        <v>55.348837209302317</v>
      </c>
      <c r="I5">
        <v>1</v>
      </c>
      <c r="J5">
        <v>1.953488372093023</v>
      </c>
      <c r="K5">
        <v>1.953488372093023</v>
      </c>
      <c r="L5">
        <v>5.375</v>
      </c>
      <c r="M5">
        <v>83</v>
      </c>
      <c r="N5">
        <v>1</v>
      </c>
      <c r="O5">
        <v>3</v>
      </c>
      <c r="P5">
        <v>84</v>
      </c>
      <c r="Q5">
        <v>43</v>
      </c>
      <c r="R5">
        <v>8</v>
      </c>
      <c r="S5">
        <v>8</v>
      </c>
      <c r="T5">
        <v>260</v>
      </c>
      <c r="U5">
        <v>43</v>
      </c>
      <c r="V5">
        <v>2380</v>
      </c>
      <c r="W5">
        <v>84</v>
      </c>
    </row>
    <row r="6" spans="1:23" x14ac:dyDescent="0.2">
      <c r="A6" t="s">
        <v>25</v>
      </c>
      <c r="B6" t="s">
        <v>157</v>
      </c>
      <c r="C6">
        <v>327.68848347663879</v>
      </c>
      <c r="D6">
        <v>3650</v>
      </c>
      <c r="E6">
        <v>1053</v>
      </c>
      <c r="F6">
        <v>34</v>
      </c>
      <c r="G6">
        <v>34</v>
      </c>
      <c r="H6">
        <v>73198.654761904763</v>
      </c>
      <c r="I6">
        <v>1.121472392638037</v>
      </c>
      <c r="J6">
        <v>3.626984126984127</v>
      </c>
      <c r="K6">
        <v>3.2341269841269842</v>
      </c>
      <c r="L6">
        <v>7.4117647058823533</v>
      </c>
      <c r="M6">
        <v>2500000</v>
      </c>
      <c r="N6">
        <v>2</v>
      </c>
      <c r="O6">
        <v>6</v>
      </c>
      <c r="P6">
        <v>815</v>
      </c>
      <c r="Q6">
        <v>252</v>
      </c>
      <c r="R6">
        <v>34</v>
      </c>
      <c r="S6">
        <v>68</v>
      </c>
      <c r="T6">
        <v>16222</v>
      </c>
      <c r="U6">
        <v>2240</v>
      </c>
      <c r="V6">
        <v>18446061</v>
      </c>
      <c r="W6">
        <v>914</v>
      </c>
    </row>
    <row r="7" spans="1:23" x14ac:dyDescent="0.2">
      <c r="A7" t="s">
        <v>26</v>
      </c>
      <c r="B7" t="s">
        <v>157</v>
      </c>
      <c r="C7">
        <v>51.364928007125847</v>
      </c>
      <c r="D7">
        <v>2194</v>
      </c>
      <c r="E7">
        <v>5767</v>
      </c>
      <c r="F7">
        <v>9</v>
      </c>
      <c r="G7">
        <v>9</v>
      </c>
      <c r="H7">
        <v>67.15094339622641</v>
      </c>
      <c r="I7">
        <v>1</v>
      </c>
      <c r="J7">
        <v>1.5094339622641511</v>
      </c>
      <c r="K7">
        <v>1.5094339622641511</v>
      </c>
      <c r="L7">
        <v>5.8888888888888893</v>
      </c>
      <c r="M7">
        <v>103</v>
      </c>
      <c r="N7">
        <v>1</v>
      </c>
      <c r="O7">
        <v>2</v>
      </c>
      <c r="P7">
        <v>80</v>
      </c>
      <c r="Q7">
        <v>53</v>
      </c>
      <c r="R7">
        <v>9</v>
      </c>
      <c r="S7">
        <v>9</v>
      </c>
      <c r="T7">
        <v>397</v>
      </c>
      <c r="U7">
        <v>65</v>
      </c>
      <c r="V7">
        <v>3559</v>
      </c>
      <c r="W7">
        <v>80</v>
      </c>
    </row>
    <row r="8" spans="1:23" x14ac:dyDescent="0.2">
      <c r="A8" t="s">
        <v>27</v>
      </c>
      <c r="B8" t="s">
        <v>157</v>
      </c>
      <c r="C8">
        <v>331.646723985672</v>
      </c>
      <c r="D8">
        <v>7418</v>
      </c>
      <c r="E8">
        <v>24856</v>
      </c>
      <c r="F8">
        <v>10</v>
      </c>
      <c r="G8">
        <v>10</v>
      </c>
      <c r="H8">
        <v>76.9375</v>
      </c>
      <c r="I8">
        <v>1</v>
      </c>
      <c r="J8">
        <v>1.546875</v>
      </c>
      <c r="K8">
        <v>1.546875</v>
      </c>
      <c r="L8">
        <v>6.4</v>
      </c>
      <c r="M8">
        <v>113</v>
      </c>
      <c r="N8">
        <v>1</v>
      </c>
      <c r="O8">
        <v>2</v>
      </c>
      <c r="P8">
        <v>99</v>
      </c>
      <c r="Q8">
        <v>64</v>
      </c>
      <c r="R8">
        <v>10</v>
      </c>
      <c r="S8">
        <v>10</v>
      </c>
      <c r="T8">
        <v>541</v>
      </c>
      <c r="U8">
        <v>82</v>
      </c>
      <c r="V8">
        <v>4924</v>
      </c>
      <c r="W8">
        <v>99</v>
      </c>
    </row>
    <row r="9" spans="1:23" x14ac:dyDescent="0.2">
      <c r="A9" t="s">
        <v>30</v>
      </c>
      <c r="B9" t="s">
        <v>157</v>
      </c>
      <c r="C9">
        <v>6.6501693725585938</v>
      </c>
      <c r="D9">
        <v>275</v>
      </c>
      <c r="E9">
        <v>378</v>
      </c>
      <c r="F9">
        <v>8</v>
      </c>
      <c r="G9">
        <v>8</v>
      </c>
      <c r="H9">
        <v>130.31372549019611</v>
      </c>
      <c r="I9">
        <v>1.053191489361702</v>
      </c>
      <c r="J9">
        <v>1.9411764705882351</v>
      </c>
      <c r="K9">
        <v>1.8431372549019609</v>
      </c>
      <c r="L9">
        <v>6.375</v>
      </c>
      <c r="M9">
        <v>1056</v>
      </c>
      <c r="N9">
        <v>2</v>
      </c>
      <c r="O9">
        <v>3</v>
      </c>
      <c r="P9">
        <v>94</v>
      </c>
      <c r="Q9">
        <v>51</v>
      </c>
      <c r="R9">
        <v>8</v>
      </c>
      <c r="S9">
        <v>9</v>
      </c>
      <c r="T9">
        <v>360</v>
      </c>
      <c r="U9">
        <v>54</v>
      </c>
      <c r="V9">
        <v>6646</v>
      </c>
      <c r="W9">
        <v>99</v>
      </c>
    </row>
    <row r="10" spans="1:23" x14ac:dyDescent="0.2">
      <c r="A10" t="s">
        <v>31</v>
      </c>
      <c r="B10" t="s">
        <v>157</v>
      </c>
      <c r="C10">
        <v>1572.316743612289</v>
      </c>
      <c r="D10">
        <v>4420</v>
      </c>
      <c r="E10">
        <v>2276</v>
      </c>
      <c r="F10">
        <v>29</v>
      </c>
      <c r="G10">
        <v>29</v>
      </c>
      <c r="H10">
        <v>52968127440194.328</v>
      </c>
      <c r="I10">
        <v>1.4862385321100919</v>
      </c>
      <c r="J10">
        <v>1.8984375</v>
      </c>
      <c r="K10">
        <v>1.27734375</v>
      </c>
      <c r="L10">
        <v>8.8275862068965516</v>
      </c>
      <c r="M10">
        <v>1E+16</v>
      </c>
      <c r="N10">
        <v>16</v>
      </c>
      <c r="O10">
        <v>3</v>
      </c>
      <c r="P10">
        <v>327</v>
      </c>
      <c r="Q10">
        <v>256</v>
      </c>
      <c r="R10">
        <v>29</v>
      </c>
      <c r="S10">
        <v>47</v>
      </c>
      <c r="T10">
        <v>11546</v>
      </c>
      <c r="U10">
        <v>1250</v>
      </c>
      <c r="V10">
        <v>1.355984062468975E+16</v>
      </c>
      <c r="W10">
        <v>486</v>
      </c>
    </row>
    <row r="11" spans="1:23" x14ac:dyDescent="0.2">
      <c r="A11" t="s">
        <v>33</v>
      </c>
      <c r="B11" t="s">
        <v>157</v>
      </c>
      <c r="C11">
        <v>70.445943832397461</v>
      </c>
      <c r="D11">
        <v>2022</v>
      </c>
      <c r="E11">
        <v>1798</v>
      </c>
      <c r="F11">
        <v>12</v>
      </c>
      <c r="G11">
        <v>12</v>
      </c>
      <c r="H11">
        <v>9564.5217391304341</v>
      </c>
      <c r="I11">
        <v>1.203389830508474</v>
      </c>
      <c r="J11">
        <v>1.543478260869565</v>
      </c>
      <c r="K11">
        <v>1.2826086956521741</v>
      </c>
      <c r="L11">
        <v>3.833333333333333</v>
      </c>
      <c r="M11">
        <v>39701</v>
      </c>
      <c r="N11">
        <v>2</v>
      </c>
      <c r="O11">
        <v>3</v>
      </c>
      <c r="P11">
        <v>59</v>
      </c>
      <c r="Q11">
        <v>46</v>
      </c>
      <c r="R11">
        <v>12</v>
      </c>
      <c r="S11">
        <v>24</v>
      </c>
      <c r="T11">
        <v>1033</v>
      </c>
      <c r="U11">
        <v>263</v>
      </c>
      <c r="V11">
        <v>439968</v>
      </c>
      <c r="W11">
        <v>71</v>
      </c>
    </row>
    <row r="12" spans="1:23" x14ac:dyDescent="0.2">
      <c r="A12" t="s">
        <v>35</v>
      </c>
      <c r="B12" t="s">
        <v>157</v>
      </c>
      <c r="C12">
        <v>2.0594253540039058</v>
      </c>
      <c r="D12">
        <v>177</v>
      </c>
      <c r="E12">
        <v>102</v>
      </c>
      <c r="F12">
        <v>6</v>
      </c>
      <c r="G12">
        <v>6</v>
      </c>
      <c r="H12">
        <v>5779.8292682926831</v>
      </c>
      <c r="I12">
        <v>1</v>
      </c>
      <c r="J12">
        <v>1.51219512195122</v>
      </c>
      <c r="K12">
        <v>1.51219512195122</v>
      </c>
      <c r="L12">
        <v>13.66666666666667</v>
      </c>
      <c r="M12">
        <v>57031</v>
      </c>
      <c r="N12">
        <v>1</v>
      </c>
      <c r="O12">
        <v>2</v>
      </c>
      <c r="P12">
        <v>124</v>
      </c>
      <c r="Q12">
        <v>82</v>
      </c>
      <c r="R12">
        <v>6</v>
      </c>
      <c r="S12">
        <v>6</v>
      </c>
      <c r="T12">
        <v>368</v>
      </c>
      <c r="U12">
        <v>24</v>
      </c>
      <c r="V12">
        <v>473946</v>
      </c>
      <c r="W12">
        <v>124</v>
      </c>
    </row>
    <row r="13" spans="1:23" x14ac:dyDescent="0.2">
      <c r="A13" t="s">
        <v>36</v>
      </c>
      <c r="B13" t="s">
        <v>157</v>
      </c>
      <c r="C13">
        <v>3.4138386249542241</v>
      </c>
      <c r="D13">
        <v>226</v>
      </c>
      <c r="E13">
        <v>138</v>
      </c>
      <c r="F13">
        <v>6</v>
      </c>
      <c r="G13">
        <v>6</v>
      </c>
      <c r="H13">
        <v>943.11764705882354</v>
      </c>
      <c r="I13">
        <v>1.3731343283582089</v>
      </c>
      <c r="J13">
        <v>1.803921568627451</v>
      </c>
      <c r="K13">
        <v>1.313725490196078</v>
      </c>
      <c r="L13">
        <v>8.5</v>
      </c>
      <c r="M13">
        <v>3721</v>
      </c>
      <c r="N13">
        <v>2</v>
      </c>
      <c r="O13">
        <v>2</v>
      </c>
      <c r="P13">
        <v>67</v>
      </c>
      <c r="Q13">
        <v>51</v>
      </c>
      <c r="R13">
        <v>6</v>
      </c>
      <c r="S13">
        <v>12</v>
      </c>
      <c r="T13">
        <v>520</v>
      </c>
      <c r="U13">
        <v>60</v>
      </c>
      <c r="V13">
        <v>48099</v>
      </c>
      <c r="W13">
        <v>92</v>
      </c>
    </row>
    <row r="14" spans="1:23" x14ac:dyDescent="0.2">
      <c r="A14" t="s">
        <v>38</v>
      </c>
      <c r="B14" t="s">
        <v>157</v>
      </c>
      <c r="C14">
        <v>149.13368463516241</v>
      </c>
      <c r="D14">
        <v>272</v>
      </c>
      <c r="E14">
        <v>1772</v>
      </c>
      <c r="F14">
        <v>5</v>
      </c>
      <c r="G14">
        <v>5</v>
      </c>
      <c r="H14">
        <v>1.833333333333333</v>
      </c>
      <c r="I14">
        <v>4</v>
      </c>
      <c r="J14">
        <v>3.333333333333333</v>
      </c>
      <c r="K14">
        <v>0.83333333333333337</v>
      </c>
      <c r="L14">
        <v>6</v>
      </c>
      <c r="M14">
        <v>2</v>
      </c>
      <c r="N14">
        <v>6</v>
      </c>
      <c r="O14">
        <v>1</v>
      </c>
      <c r="P14">
        <v>25</v>
      </c>
      <c r="Q14">
        <v>30</v>
      </c>
      <c r="R14">
        <v>5</v>
      </c>
      <c r="S14">
        <v>30</v>
      </c>
      <c r="T14">
        <v>800</v>
      </c>
      <c r="U14">
        <v>130</v>
      </c>
      <c r="V14">
        <v>55</v>
      </c>
      <c r="W14">
        <v>100</v>
      </c>
    </row>
    <row r="15" spans="1:23" x14ac:dyDescent="0.2">
      <c r="A15" t="s">
        <v>44</v>
      </c>
      <c r="B15" t="s">
        <v>157</v>
      </c>
      <c r="C15">
        <v>101.02555823326109</v>
      </c>
      <c r="D15">
        <v>2581</v>
      </c>
      <c r="E15">
        <v>2363</v>
      </c>
      <c r="F15">
        <v>12</v>
      </c>
      <c r="G15">
        <v>12</v>
      </c>
      <c r="H15">
        <v>9564.5217391304341</v>
      </c>
      <c r="I15">
        <v>1.1111111111111109</v>
      </c>
      <c r="J15">
        <v>1.7391304347826091</v>
      </c>
      <c r="K15">
        <v>1.5652173913043479</v>
      </c>
      <c r="L15">
        <v>3.833333333333333</v>
      </c>
      <c r="M15">
        <v>39701</v>
      </c>
      <c r="N15">
        <v>2</v>
      </c>
      <c r="O15">
        <v>5</v>
      </c>
      <c r="P15">
        <v>72</v>
      </c>
      <c r="Q15">
        <v>46</v>
      </c>
      <c r="R15">
        <v>12</v>
      </c>
      <c r="S15">
        <v>24</v>
      </c>
      <c r="T15">
        <v>1024</v>
      </c>
      <c r="U15">
        <v>260</v>
      </c>
      <c r="V15">
        <v>439968</v>
      </c>
      <c r="W15">
        <v>80</v>
      </c>
    </row>
    <row r="16" spans="1:23" x14ac:dyDescent="0.2">
      <c r="A16" t="s">
        <v>45</v>
      </c>
      <c r="B16" t="s">
        <v>157</v>
      </c>
      <c r="C16">
        <v>13.24014449119568</v>
      </c>
      <c r="D16">
        <v>280</v>
      </c>
      <c r="E16">
        <v>428</v>
      </c>
      <c r="F16">
        <v>7</v>
      </c>
      <c r="G16">
        <v>7</v>
      </c>
      <c r="H16">
        <v>191</v>
      </c>
      <c r="I16">
        <v>1.128571428571429</v>
      </c>
      <c r="J16">
        <v>1.6808510638297871</v>
      </c>
      <c r="K16">
        <v>1.4893617021276599</v>
      </c>
      <c r="L16">
        <v>6.7142857142857144</v>
      </c>
      <c r="M16">
        <v>3481</v>
      </c>
      <c r="N16">
        <v>2</v>
      </c>
      <c r="O16">
        <v>2</v>
      </c>
      <c r="P16">
        <v>70</v>
      </c>
      <c r="Q16">
        <v>47</v>
      </c>
      <c r="R16">
        <v>7</v>
      </c>
      <c r="S16">
        <v>14</v>
      </c>
      <c r="T16">
        <v>579</v>
      </c>
      <c r="U16">
        <v>85</v>
      </c>
      <c r="V16">
        <v>8977</v>
      </c>
      <c r="W16">
        <v>79</v>
      </c>
    </row>
    <row r="17" spans="1:23" x14ac:dyDescent="0.2">
      <c r="A17" t="s">
        <v>46</v>
      </c>
      <c r="B17" t="s">
        <v>157</v>
      </c>
      <c r="C17">
        <v>223.29891228675839</v>
      </c>
      <c r="D17">
        <v>3763</v>
      </c>
      <c r="E17">
        <v>3336</v>
      </c>
      <c r="F17">
        <v>10</v>
      </c>
      <c r="G17">
        <v>62</v>
      </c>
      <c r="H17">
        <v>958.62592592592591</v>
      </c>
      <c r="I17">
        <v>1.0718283582089549</v>
      </c>
      <c r="J17">
        <v>2.1277777777777782</v>
      </c>
      <c r="K17">
        <v>1.9851851851851849</v>
      </c>
      <c r="L17">
        <v>8.7096774193548381</v>
      </c>
      <c r="M17">
        <v>12769</v>
      </c>
      <c r="N17">
        <v>2</v>
      </c>
      <c r="O17">
        <v>3</v>
      </c>
      <c r="P17">
        <v>1072</v>
      </c>
      <c r="Q17">
        <v>540</v>
      </c>
      <c r="R17">
        <v>62</v>
      </c>
      <c r="S17">
        <v>19</v>
      </c>
      <c r="T17">
        <v>9111</v>
      </c>
      <c r="U17">
        <v>992</v>
      </c>
      <c r="V17">
        <v>517658</v>
      </c>
      <c r="W17">
        <v>1149</v>
      </c>
    </row>
    <row r="18" spans="1:23" x14ac:dyDescent="0.2">
      <c r="A18" t="s">
        <v>47</v>
      </c>
      <c r="B18" t="s">
        <v>157</v>
      </c>
      <c r="C18">
        <v>102.8006916046143</v>
      </c>
      <c r="D18">
        <v>738</v>
      </c>
      <c r="E18">
        <v>9170</v>
      </c>
      <c r="F18">
        <v>6</v>
      </c>
      <c r="G18">
        <v>6</v>
      </c>
      <c r="H18">
        <v>4241200.2142857146</v>
      </c>
      <c r="I18">
        <v>1.166666666666667</v>
      </c>
      <c r="J18">
        <v>2.5</v>
      </c>
      <c r="K18">
        <v>2.1428571428571428</v>
      </c>
      <c r="L18">
        <v>4.666666666666667</v>
      </c>
      <c r="M18">
        <v>115856201</v>
      </c>
      <c r="N18">
        <v>5</v>
      </c>
      <c r="O18">
        <v>5</v>
      </c>
      <c r="P18">
        <v>60</v>
      </c>
      <c r="Q18">
        <v>28</v>
      </c>
      <c r="R18">
        <v>6</v>
      </c>
      <c r="S18">
        <v>10</v>
      </c>
      <c r="T18">
        <v>210</v>
      </c>
      <c r="U18">
        <v>40</v>
      </c>
      <c r="V18">
        <v>118753606</v>
      </c>
      <c r="W18">
        <v>70</v>
      </c>
    </row>
    <row r="19" spans="1:23" x14ac:dyDescent="0.2">
      <c r="A19" t="s">
        <v>54</v>
      </c>
      <c r="B19" t="s">
        <v>157</v>
      </c>
      <c r="C19">
        <v>1.8437173366546631</v>
      </c>
      <c r="D19">
        <v>95</v>
      </c>
      <c r="E19">
        <v>84</v>
      </c>
      <c r="F19">
        <v>5</v>
      </c>
      <c r="G19">
        <v>5</v>
      </c>
      <c r="H19">
        <v>6.7853100176612997E+18</v>
      </c>
      <c r="I19">
        <v>1.219512195121951</v>
      </c>
      <c r="J19">
        <v>1.666666666666667</v>
      </c>
      <c r="K19">
        <v>1.3666666666666669</v>
      </c>
      <c r="L19">
        <v>6</v>
      </c>
      <c r="M19">
        <v>2.0337025628949099E+20</v>
      </c>
      <c r="N19">
        <v>2</v>
      </c>
      <c r="O19">
        <v>2</v>
      </c>
      <c r="P19">
        <v>41</v>
      </c>
      <c r="Q19">
        <v>30</v>
      </c>
      <c r="R19">
        <v>5</v>
      </c>
      <c r="S19">
        <v>8</v>
      </c>
      <c r="T19">
        <v>190</v>
      </c>
      <c r="U19">
        <v>27</v>
      </c>
      <c r="V19">
        <v>2.0355930052983901E+20</v>
      </c>
      <c r="W19">
        <v>50</v>
      </c>
    </row>
    <row r="20" spans="1:23" x14ac:dyDescent="0.2">
      <c r="A20" t="s">
        <v>56</v>
      </c>
      <c r="B20" t="s">
        <v>157</v>
      </c>
      <c r="C20">
        <v>446.55220174789429</v>
      </c>
      <c r="D20">
        <v>3519</v>
      </c>
      <c r="E20">
        <v>3571</v>
      </c>
      <c r="F20">
        <v>10</v>
      </c>
      <c r="G20">
        <v>10</v>
      </c>
      <c r="H20">
        <v>34969370.466666669</v>
      </c>
      <c r="I20">
        <v>0.9555555555555556</v>
      </c>
      <c r="J20">
        <v>1.4333333333333329</v>
      </c>
      <c r="K20">
        <v>1.5</v>
      </c>
      <c r="L20">
        <v>3</v>
      </c>
      <c r="M20">
        <v>100000000</v>
      </c>
      <c r="N20">
        <v>1</v>
      </c>
      <c r="O20">
        <v>4</v>
      </c>
      <c r="P20">
        <v>45</v>
      </c>
      <c r="Q20">
        <v>30</v>
      </c>
      <c r="R20">
        <v>10</v>
      </c>
      <c r="S20">
        <v>10</v>
      </c>
      <c r="T20">
        <v>257</v>
      </c>
      <c r="U20">
        <v>68</v>
      </c>
      <c r="V20">
        <v>1049081114</v>
      </c>
      <c r="W20">
        <v>43</v>
      </c>
    </row>
    <row r="21" spans="1:23" x14ac:dyDescent="0.2">
      <c r="A21" t="s">
        <v>57</v>
      </c>
      <c r="B21" t="s">
        <v>157</v>
      </c>
      <c r="C21">
        <v>2.14338207244873</v>
      </c>
      <c r="D21">
        <v>62</v>
      </c>
      <c r="E21">
        <v>264</v>
      </c>
      <c r="F21">
        <v>5</v>
      </c>
      <c r="G21">
        <v>4</v>
      </c>
      <c r="H21">
        <v>4554.411764705882</v>
      </c>
      <c r="I21">
        <v>1.48</v>
      </c>
      <c r="J21">
        <v>2.1764705882352939</v>
      </c>
      <c r="K21">
        <v>1.470588235294118</v>
      </c>
      <c r="L21">
        <v>4.25</v>
      </c>
      <c r="M21">
        <v>68921</v>
      </c>
      <c r="N21">
        <v>3</v>
      </c>
      <c r="O21">
        <v>3</v>
      </c>
      <c r="P21">
        <v>25</v>
      </c>
      <c r="Q21">
        <v>17</v>
      </c>
      <c r="R21">
        <v>4</v>
      </c>
      <c r="S21">
        <v>11</v>
      </c>
      <c r="T21">
        <v>150</v>
      </c>
      <c r="U21">
        <v>31</v>
      </c>
      <c r="V21">
        <v>77425</v>
      </c>
      <c r="W21">
        <v>37</v>
      </c>
    </row>
    <row r="22" spans="1:23" x14ac:dyDescent="0.2">
      <c r="A22" t="s">
        <v>61</v>
      </c>
      <c r="B22" t="s">
        <v>157</v>
      </c>
      <c r="C22">
        <v>1360.646322250366</v>
      </c>
      <c r="D22">
        <v>25307</v>
      </c>
      <c r="E22">
        <v>104815</v>
      </c>
      <c r="F22">
        <v>11</v>
      </c>
      <c r="G22">
        <v>11</v>
      </c>
      <c r="H22">
        <v>90.53947368421052</v>
      </c>
      <c r="I22">
        <v>0.99236641221374045</v>
      </c>
      <c r="J22">
        <v>1.7105263157894739</v>
      </c>
      <c r="K22">
        <v>1.7236842105263159</v>
      </c>
      <c r="L22">
        <v>6.9090909090909092</v>
      </c>
      <c r="M22">
        <v>137</v>
      </c>
      <c r="N22">
        <v>1</v>
      </c>
      <c r="O22">
        <v>3</v>
      </c>
      <c r="P22">
        <v>131</v>
      </c>
      <c r="Q22">
        <v>76</v>
      </c>
      <c r="R22">
        <v>11</v>
      </c>
      <c r="S22">
        <v>11</v>
      </c>
      <c r="T22">
        <v>706</v>
      </c>
      <c r="U22">
        <v>91</v>
      </c>
      <c r="V22">
        <v>6881</v>
      </c>
      <c r="W22">
        <v>130</v>
      </c>
    </row>
    <row r="23" spans="1:23" x14ac:dyDescent="0.2">
      <c r="A23" t="s">
        <v>63</v>
      </c>
      <c r="B23" t="s">
        <v>157</v>
      </c>
      <c r="C23">
        <v>503.71039080619812</v>
      </c>
      <c r="D23">
        <v>747</v>
      </c>
      <c r="E23">
        <v>2962</v>
      </c>
      <c r="F23">
        <v>7</v>
      </c>
      <c r="G23">
        <v>6</v>
      </c>
      <c r="H23">
        <v>31351.481481481482</v>
      </c>
      <c r="I23">
        <v>1.305555555555556</v>
      </c>
      <c r="J23">
        <v>1.7407407407407409</v>
      </c>
      <c r="K23">
        <v>1.333333333333333</v>
      </c>
      <c r="L23">
        <v>4.5</v>
      </c>
      <c r="M23">
        <v>389017</v>
      </c>
      <c r="N23">
        <v>3</v>
      </c>
      <c r="O23">
        <v>2</v>
      </c>
      <c r="P23">
        <v>36</v>
      </c>
      <c r="Q23">
        <v>27</v>
      </c>
      <c r="R23">
        <v>6</v>
      </c>
      <c r="S23">
        <v>15</v>
      </c>
      <c r="T23">
        <v>358</v>
      </c>
      <c r="U23">
        <v>69</v>
      </c>
      <c r="V23">
        <v>846490</v>
      </c>
      <c r="W23">
        <v>47</v>
      </c>
    </row>
    <row r="24" spans="1:23" x14ac:dyDescent="0.2">
      <c r="A24" t="s">
        <v>65</v>
      </c>
      <c r="B24" t="s">
        <v>157</v>
      </c>
      <c r="C24">
        <v>1.0250287055969241</v>
      </c>
      <c r="D24">
        <v>94</v>
      </c>
      <c r="E24">
        <v>57</v>
      </c>
      <c r="F24">
        <v>6</v>
      </c>
      <c r="G24">
        <v>6</v>
      </c>
      <c r="H24">
        <v>21.175000000000001</v>
      </c>
      <c r="I24">
        <v>1.1953125</v>
      </c>
      <c r="J24">
        <v>1.9125000000000001</v>
      </c>
      <c r="K24">
        <v>1.6</v>
      </c>
      <c r="L24">
        <v>13.33333333333333</v>
      </c>
      <c r="M24">
        <v>59</v>
      </c>
      <c r="N24">
        <v>2</v>
      </c>
      <c r="O24">
        <v>2</v>
      </c>
      <c r="P24">
        <v>128</v>
      </c>
      <c r="Q24">
        <v>80</v>
      </c>
      <c r="R24">
        <v>6</v>
      </c>
      <c r="S24">
        <v>7</v>
      </c>
      <c r="T24">
        <v>407</v>
      </c>
      <c r="U24">
        <v>26</v>
      </c>
      <c r="V24">
        <v>1694</v>
      </c>
      <c r="W24">
        <v>153</v>
      </c>
    </row>
    <row r="25" spans="1:23" x14ac:dyDescent="0.2">
      <c r="A25" t="s">
        <v>67</v>
      </c>
      <c r="B25" t="s">
        <v>157</v>
      </c>
      <c r="C25">
        <v>3.3830745220184331</v>
      </c>
      <c r="D25">
        <v>318</v>
      </c>
      <c r="E25">
        <v>637</v>
      </c>
      <c r="F25">
        <v>10</v>
      </c>
      <c r="G25">
        <v>9</v>
      </c>
      <c r="H25">
        <v>10.02702702702703</v>
      </c>
      <c r="I25">
        <v>1</v>
      </c>
      <c r="J25">
        <v>1.486486486486486</v>
      </c>
      <c r="K25">
        <v>1.486486486486486</v>
      </c>
      <c r="L25">
        <v>8.2222222222222214</v>
      </c>
      <c r="M25">
        <v>113</v>
      </c>
      <c r="N25">
        <v>1</v>
      </c>
      <c r="O25">
        <v>2</v>
      </c>
      <c r="P25">
        <v>110</v>
      </c>
      <c r="Q25">
        <v>74</v>
      </c>
      <c r="R25">
        <v>9</v>
      </c>
      <c r="S25">
        <v>10</v>
      </c>
      <c r="T25">
        <v>630</v>
      </c>
      <c r="U25">
        <v>74</v>
      </c>
      <c r="V25">
        <v>742</v>
      </c>
      <c r="W25">
        <v>110</v>
      </c>
    </row>
    <row r="26" spans="1:23" x14ac:dyDescent="0.2">
      <c r="A26" t="s">
        <v>69</v>
      </c>
      <c r="B26" t="s">
        <v>157</v>
      </c>
      <c r="C26">
        <v>10.834578514099119</v>
      </c>
      <c r="D26">
        <v>501</v>
      </c>
      <c r="E26">
        <v>362</v>
      </c>
      <c r="F26">
        <v>10</v>
      </c>
      <c r="G26">
        <v>10</v>
      </c>
      <c r="H26">
        <v>70.575000000000003</v>
      </c>
      <c r="I26">
        <v>1</v>
      </c>
      <c r="J26">
        <v>1.55</v>
      </c>
      <c r="K26">
        <v>1.55</v>
      </c>
      <c r="L26">
        <v>4</v>
      </c>
      <c r="M26">
        <v>595</v>
      </c>
      <c r="N26">
        <v>1</v>
      </c>
      <c r="O26">
        <v>2</v>
      </c>
      <c r="P26">
        <v>62</v>
      </c>
      <c r="Q26">
        <v>40</v>
      </c>
      <c r="R26">
        <v>10</v>
      </c>
      <c r="S26">
        <v>10</v>
      </c>
      <c r="T26">
        <v>338</v>
      </c>
      <c r="U26">
        <v>82</v>
      </c>
      <c r="V26">
        <v>2823</v>
      </c>
      <c r="W26">
        <v>62</v>
      </c>
    </row>
    <row r="27" spans="1:23" x14ac:dyDescent="0.2">
      <c r="A27" t="s">
        <v>70</v>
      </c>
      <c r="B27" t="s">
        <v>157</v>
      </c>
      <c r="C27">
        <v>461.10596132278442</v>
      </c>
      <c r="D27">
        <v>3565</v>
      </c>
      <c r="E27">
        <v>3694</v>
      </c>
      <c r="F27">
        <v>12</v>
      </c>
      <c r="G27">
        <v>10</v>
      </c>
      <c r="H27">
        <v>34969370.466666669</v>
      </c>
      <c r="I27">
        <v>0.9555555555555556</v>
      </c>
      <c r="J27">
        <v>1.4333333333333329</v>
      </c>
      <c r="K27">
        <v>1.5</v>
      </c>
      <c r="L27">
        <v>3</v>
      </c>
      <c r="M27">
        <v>100000000</v>
      </c>
      <c r="N27">
        <v>1</v>
      </c>
      <c r="O27">
        <v>4</v>
      </c>
      <c r="P27">
        <v>45</v>
      </c>
      <c r="Q27">
        <v>30</v>
      </c>
      <c r="R27">
        <v>10</v>
      </c>
      <c r="S27">
        <v>10</v>
      </c>
      <c r="T27">
        <v>257</v>
      </c>
      <c r="U27">
        <v>68</v>
      </c>
      <c r="V27">
        <v>1049081114</v>
      </c>
      <c r="W27">
        <v>43</v>
      </c>
    </row>
    <row r="28" spans="1:23" x14ac:dyDescent="0.2">
      <c r="A28" t="s">
        <v>78</v>
      </c>
      <c r="B28" t="s">
        <v>157</v>
      </c>
      <c r="C28">
        <v>6.8042044639587402</v>
      </c>
      <c r="D28">
        <v>286</v>
      </c>
      <c r="E28">
        <v>258</v>
      </c>
      <c r="F28">
        <v>7</v>
      </c>
      <c r="G28">
        <v>7</v>
      </c>
      <c r="H28">
        <v>45.617647058823529</v>
      </c>
      <c r="I28">
        <v>1</v>
      </c>
      <c r="J28">
        <v>1.8529411764705881</v>
      </c>
      <c r="K28">
        <v>1.8529411764705881</v>
      </c>
      <c r="L28">
        <v>4.8571428571428568</v>
      </c>
      <c r="M28">
        <v>71</v>
      </c>
      <c r="N28">
        <v>1</v>
      </c>
      <c r="O28">
        <v>3</v>
      </c>
      <c r="P28">
        <v>63</v>
      </c>
      <c r="Q28">
        <v>34</v>
      </c>
      <c r="R28">
        <v>7</v>
      </c>
      <c r="S28">
        <v>7</v>
      </c>
      <c r="T28">
        <v>175</v>
      </c>
      <c r="U28">
        <v>31</v>
      </c>
      <c r="V28">
        <v>1551</v>
      </c>
      <c r="W28">
        <v>63</v>
      </c>
    </row>
    <row r="29" spans="1:23" x14ac:dyDescent="0.2">
      <c r="A29" t="s">
        <v>80</v>
      </c>
      <c r="B29" t="s">
        <v>157</v>
      </c>
      <c r="C29">
        <v>5.835477352142334</v>
      </c>
      <c r="D29">
        <v>199</v>
      </c>
      <c r="E29">
        <v>391</v>
      </c>
      <c r="F29">
        <v>7</v>
      </c>
      <c r="G29">
        <v>7</v>
      </c>
      <c r="H29">
        <v>13.41818181818182</v>
      </c>
      <c r="I29">
        <v>1.653846153846154</v>
      </c>
      <c r="J29">
        <v>2.3454545454545448</v>
      </c>
      <c r="K29">
        <v>1.418181818181818</v>
      </c>
      <c r="L29">
        <v>7.8571428571428568</v>
      </c>
      <c r="M29">
        <v>73</v>
      </c>
      <c r="N29">
        <v>4</v>
      </c>
      <c r="O29">
        <v>4</v>
      </c>
      <c r="P29">
        <v>78</v>
      </c>
      <c r="Q29">
        <v>55</v>
      </c>
      <c r="R29">
        <v>7</v>
      </c>
      <c r="S29">
        <v>14</v>
      </c>
      <c r="T29">
        <v>641</v>
      </c>
      <c r="U29">
        <v>74</v>
      </c>
      <c r="V29">
        <v>738</v>
      </c>
      <c r="W29">
        <v>129</v>
      </c>
    </row>
    <row r="30" spans="1:23" x14ac:dyDescent="0.2">
      <c r="A30" t="s">
        <v>84</v>
      </c>
      <c r="B30" t="s">
        <v>157</v>
      </c>
      <c r="C30">
        <v>8.2688801288604736</v>
      </c>
      <c r="D30">
        <v>0</v>
      </c>
      <c r="E30">
        <v>452</v>
      </c>
      <c r="F30">
        <v>4</v>
      </c>
      <c r="G30">
        <v>4</v>
      </c>
      <c r="H30">
        <v>143912.73076923081</v>
      </c>
      <c r="I30">
        <v>1.576271186440678</v>
      </c>
      <c r="J30">
        <v>3.5769230769230771</v>
      </c>
      <c r="K30">
        <v>2.2692307692307692</v>
      </c>
      <c r="L30">
        <v>13</v>
      </c>
      <c r="M30">
        <v>2985984</v>
      </c>
      <c r="N30">
        <v>3</v>
      </c>
      <c r="O30">
        <v>3</v>
      </c>
      <c r="P30">
        <v>118</v>
      </c>
      <c r="Q30">
        <v>52</v>
      </c>
      <c r="R30">
        <v>4</v>
      </c>
      <c r="S30">
        <v>12</v>
      </c>
      <c r="T30">
        <v>438</v>
      </c>
      <c r="U30">
        <v>26</v>
      </c>
      <c r="V30">
        <v>7483462</v>
      </c>
      <c r="W30">
        <v>186</v>
      </c>
    </row>
    <row r="31" spans="1:23" x14ac:dyDescent="0.2">
      <c r="A31" t="s">
        <v>85</v>
      </c>
      <c r="B31" t="s">
        <v>157</v>
      </c>
      <c r="C31">
        <v>323.35472893714899</v>
      </c>
      <c r="D31">
        <v>6314</v>
      </c>
      <c r="E31">
        <v>17392</v>
      </c>
      <c r="F31">
        <v>9</v>
      </c>
      <c r="G31">
        <v>9</v>
      </c>
      <c r="H31">
        <v>157763.8095238095</v>
      </c>
      <c r="I31">
        <v>1.4683544303797471</v>
      </c>
      <c r="J31">
        <v>2.7619047619047619</v>
      </c>
      <c r="K31">
        <v>1.8809523809523809</v>
      </c>
      <c r="L31">
        <v>4.666666666666667</v>
      </c>
      <c r="M31">
        <v>1000000</v>
      </c>
      <c r="N31">
        <v>2</v>
      </c>
      <c r="O31">
        <v>5</v>
      </c>
      <c r="P31">
        <v>79</v>
      </c>
      <c r="Q31">
        <v>42</v>
      </c>
      <c r="R31">
        <v>9</v>
      </c>
      <c r="S31">
        <v>18</v>
      </c>
      <c r="T31">
        <v>640</v>
      </c>
      <c r="U31">
        <v>133</v>
      </c>
      <c r="V31">
        <v>6626080</v>
      </c>
      <c r="W31">
        <v>116</v>
      </c>
    </row>
    <row r="32" spans="1:23" x14ac:dyDescent="0.2">
      <c r="A32" t="s">
        <v>86</v>
      </c>
      <c r="B32" t="s">
        <v>157</v>
      </c>
      <c r="C32">
        <v>11.772971153259279</v>
      </c>
      <c r="D32">
        <v>558</v>
      </c>
      <c r="E32">
        <v>339</v>
      </c>
      <c r="F32">
        <v>10</v>
      </c>
      <c r="G32">
        <v>10</v>
      </c>
      <c r="H32">
        <v>152.67500000000001</v>
      </c>
      <c r="I32">
        <v>1</v>
      </c>
      <c r="J32">
        <v>1.55</v>
      </c>
      <c r="K32">
        <v>1.55</v>
      </c>
      <c r="L32">
        <v>4</v>
      </c>
      <c r="M32">
        <v>855</v>
      </c>
      <c r="N32">
        <v>1</v>
      </c>
      <c r="O32">
        <v>2</v>
      </c>
      <c r="P32">
        <v>62</v>
      </c>
      <c r="Q32">
        <v>40</v>
      </c>
      <c r="R32">
        <v>10</v>
      </c>
      <c r="S32">
        <v>10</v>
      </c>
      <c r="T32">
        <v>338</v>
      </c>
      <c r="U32">
        <v>82</v>
      </c>
      <c r="V32">
        <v>6107</v>
      </c>
      <c r="W32">
        <v>62</v>
      </c>
    </row>
    <row r="33" spans="1:23" x14ac:dyDescent="0.2">
      <c r="A33" t="s">
        <v>91</v>
      </c>
      <c r="B33" t="s">
        <v>157</v>
      </c>
      <c r="C33">
        <v>104.5982294082642</v>
      </c>
      <c r="D33">
        <v>719</v>
      </c>
      <c r="E33">
        <v>1746</v>
      </c>
      <c r="F33">
        <v>8</v>
      </c>
      <c r="G33">
        <v>8</v>
      </c>
      <c r="H33">
        <v>289.64999999999998</v>
      </c>
      <c r="I33">
        <v>1.119565217391304</v>
      </c>
      <c r="J33">
        <v>1.716666666666667</v>
      </c>
      <c r="K33">
        <v>1.533333333333333</v>
      </c>
      <c r="L33">
        <v>7.5</v>
      </c>
      <c r="M33">
        <v>5041</v>
      </c>
      <c r="N33">
        <v>2</v>
      </c>
      <c r="O33">
        <v>2</v>
      </c>
      <c r="P33">
        <v>92</v>
      </c>
      <c r="Q33">
        <v>60</v>
      </c>
      <c r="R33">
        <v>8</v>
      </c>
      <c r="S33">
        <v>16</v>
      </c>
      <c r="T33">
        <v>857</v>
      </c>
      <c r="U33">
        <v>113</v>
      </c>
      <c r="V33">
        <v>17379</v>
      </c>
      <c r="W33">
        <v>103</v>
      </c>
    </row>
    <row r="34" spans="1:23" x14ac:dyDescent="0.2">
      <c r="A34" t="s">
        <v>93</v>
      </c>
      <c r="B34" t="s">
        <v>157</v>
      </c>
      <c r="C34">
        <v>340.13222908973688</v>
      </c>
      <c r="D34">
        <v>1906</v>
      </c>
      <c r="E34">
        <v>18072</v>
      </c>
      <c r="F34">
        <v>13</v>
      </c>
      <c r="G34">
        <v>12</v>
      </c>
      <c r="H34">
        <v>1727.877551020408</v>
      </c>
      <c r="I34">
        <v>1.104166666666667</v>
      </c>
      <c r="J34">
        <v>2.1632653061224492</v>
      </c>
      <c r="K34">
        <v>1.9591836734693879</v>
      </c>
      <c r="L34">
        <v>8.1666666666666661</v>
      </c>
      <c r="M34">
        <v>27889</v>
      </c>
      <c r="N34">
        <v>3</v>
      </c>
      <c r="O34">
        <v>3</v>
      </c>
      <c r="P34">
        <v>192</v>
      </c>
      <c r="Q34">
        <v>98</v>
      </c>
      <c r="R34">
        <v>12</v>
      </c>
      <c r="S34">
        <v>15</v>
      </c>
      <c r="T34">
        <v>1258</v>
      </c>
      <c r="U34">
        <v>156</v>
      </c>
      <c r="V34">
        <v>169332</v>
      </c>
      <c r="W34">
        <v>212</v>
      </c>
    </row>
    <row r="35" spans="1:23" x14ac:dyDescent="0.2">
      <c r="A35" t="s">
        <v>94</v>
      </c>
      <c r="B35" t="s">
        <v>157</v>
      </c>
      <c r="C35">
        <v>24.98520922660828</v>
      </c>
      <c r="D35">
        <v>421</v>
      </c>
      <c r="E35">
        <v>1960</v>
      </c>
      <c r="F35">
        <v>7</v>
      </c>
      <c r="G35">
        <v>6</v>
      </c>
      <c r="H35">
        <v>49.125</v>
      </c>
      <c r="I35">
        <v>1.061728395061728</v>
      </c>
      <c r="J35">
        <v>2.6875</v>
      </c>
      <c r="K35">
        <v>2.53125</v>
      </c>
      <c r="L35">
        <v>5.333333333333333</v>
      </c>
      <c r="M35">
        <v>67</v>
      </c>
      <c r="N35">
        <v>6</v>
      </c>
      <c r="O35">
        <v>6</v>
      </c>
      <c r="P35">
        <v>81</v>
      </c>
      <c r="Q35">
        <v>32</v>
      </c>
      <c r="R35">
        <v>6</v>
      </c>
      <c r="S35">
        <v>11</v>
      </c>
      <c r="T35">
        <v>266</v>
      </c>
      <c r="U35">
        <v>40</v>
      </c>
      <c r="V35">
        <v>1572</v>
      </c>
      <c r="W35">
        <v>86</v>
      </c>
    </row>
    <row r="36" spans="1:23" x14ac:dyDescent="0.2">
      <c r="A36" t="s">
        <v>95</v>
      </c>
      <c r="B36" t="s">
        <v>157</v>
      </c>
      <c r="C36">
        <v>97.386493444442749</v>
      </c>
      <c r="D36">
        <v>348</v>
      </c>
      <c r="E36">
        <v>2589</v>
      </c>
      <c r="F36">
        <v>5</v>
      </c>
      <c r="G36">
        <v>5</v>
      </c>
      <c r="H36">
        <v>11854.747826086959</v>
      </c>
      <c r="I36">
        <v>1.657142857142857</v>
      </c>
      <c r="J36">
        <v>2.5217391304347831</v>
      </c>
      <c r="K36">
        <v>1.5217391304347829</v>
      </c>
      <c r="L36">
        <v>23</v>
      </c>
      <c r="M36">
        <v>103823</v>
      </c>
      <c r="N36">
        <v>3</v>
      </c>
      <c r="O36">
        <v>2</v>
      </c>
      <c r="P36">
        <v>175</v>
      </c>
      <c r="Q36">
        <v>115</v>
      </c>
      <c r="R36">
        <v>5</v>
      </c>
      <c r="S36">
        <v>15</v>
      </c>
      <c r="T36">
        <v>1435</v>
      </c>
      <c r="U36">
        <v>60</v>
      </c>
      <c r="V36">
        <v>1363296</v>
      </c>
      <c r="W36">
        <v>290</v>
      </c>
    </row>
    <row r="37" spans="1:23" x14ac:dyDescent="0.2">
      <c r="A37" t="s">
        <v>100</v>
      </c>
      <c r="B37" t="s">
        <v>157</v>
      </c>
      <c r="C37">
        <v>62.052564859390259</v>
      </c>
      <c r="D37">
        <v>2422</v>
      </c>
      <c r="E37">
        <v>2149</v>
      </c>
      <c r="F37">
        <v>12</v>
      </c>
      <c r="G37">
        <v>12</v>
      </c>
      <c r="H37">
        <v>9564.5217391304341</v>
      </c>
      <c r="I37">
        <v>1.1111111111111109</v>
      </c>
      <c r="J37">
        <v>1.7391304347826091</v>
      </c>
      <c r="K37">
        <v>1.5652173913043479</v>
      </c>
      <c r="L37">
        <v>3.833333333333333</v>
      </c>
      <c r="M37">
        <v>39701</v>
      </c>
      <c r="N37">
        <v>2</v>
      </c>
      <c r="O37">
        <v>5</v>
      </c>
      <c r="P37">
        <v>72</v>
      </c>
      <c r="Q37">
        <v>46</v>
      </c>
      <c r="R37">
        <v>12</v>
      </c>
      <c r="S37">
        <v>24</v>
      </c>
      <c r="T37">
        <v>1024</v>
      </c>
      <c r="U37">
        <v>260</v>
      </c>
      <c r="V37">
        <v>439968</v>
      </c>
      <c r="W37">
        <v>80</v>
      </c>
    </row>
    <row r="38" spans="1:23" x14ac:dyDescent="0.2">
      <c r="A38" t="s">
        <v>104</v>
      </c>
      <c r="B38" t="s">
        <v>157</v>
      </c>
      <c r="C38">
        <v>311.0801157951355</v>
      </c>
      <c r="D38">
        <v>1458</v>
      </c>
      <c r="E38">
        <v>7274</v>
      </c>
      <c r="F38">
        <v>8</v>
      </c>
      <c r="G38">
        <v>6</v>
      </c>
      <c r="H38">
        <v>553.9859154929577</v>
      </c>
      <c r="I38">
        <v>1.249169435215947</v>
      </c>
      <c r="J38">
        <v>2.647887323943662</v>
      </c>
      <c r="K38">
        <v>2.119718309859155</v>
      </c>
      <c r="L38">
        <v>23.666666666666671</v>
      </c>
      <c r="M38">
        <v>7921</v>
      </c>
      <c r="N38">
        <v>2</v>
      </c>
      <c r="O38">
        <v>3</v>
      </c>
      <c r="P38">
        <v>301</v>
      </c>
      <c r="Q38">
        <v>142</v>
      </c>
      <c r="R38">
        <v>6</v>
      </c>
      <c r="S38">
        <v>14</v>
      </c>
      <c r="T38">
        <v>1612</v>
      </c>
      <c r="U38">
        <v>67</v>
      </c>
      <c r="V38">
        <v>78666</v>
      </c>
      <c r="W38">
        <v>376</v>
      </c>
    </row>
    <row r="39" spans="1:23" x14ac:dyDescent="0.2">
      <c r="A39" t="s">
        <v>105</v>
      </c>
      <c r="B39" t="s">
        <v>157</v>
      </c>
      <c r="C39">
        <v>15.77711606025696</v>
      </c>
      <c r="D39">
        <v>304</v>
      </c>
      <c r="E39">
        <v>2053</v>
      </c>
      <c r="F39">
        <v>5</v>
      </c>
      <c r="G39">
        <v>5</v>
      </c>
      <c r="H39">
        <v>10.16666666666667</v>
      </c>
      <c r="I39">
        <v>1.444444444444444</v>
      </c>
      <c r="J39">
        <v>2.166666666666667</v>
      </c>
      <c r="K39">
        <v>1.5</v>
      </c>
      <c r="L39">
        <v>6</v>
      </c>
      <c r="M39">
        <v>11</v>
      </c>
      <c r="N39">
        <v>2</v>
      </c>
      <c r="O39">
        <v>2</v>
      </c>
      <c r="P39">
        <v>45</v>
      </c>
      <c r="Q39">
        <v>30</v>
      </c>
      <c r="R39">
        <v>5</v>
      </c>
      <c r="S39">
        <v>10</v>
      </c>
      <c r="T39">
        <v>235</v>
      </c>
      <c r="U39">
        <v>35</v>
      </c>
      <c r="V39">
        <v>305</v>
      </c>
      <c r="W39">
        <v>65</v>
      </c>
    </row>
    <row r="40" spans="1:23" x14ac:dyDescent="0.2">
      <c r="A40" t="s">
        <v>106</v>
      </c>
      <c r="B40" t="s">
        <v>157</v>
      </c>
      <c r="C40">
        <v>15.123206853866581</v>
      </c>
      <c r="D40">
        <v>273</v>
      </c>
      <c r="E40">
        <v>4119</v>
      </c>
      <c r="F40">
        <v>7</v>
      </c>
      <c r="G40">
        <v>6</v>
      </c>
      <c r="H40">
        <v>4729194622.8125</v>
      </c>
      <c r="I40">
        <v>1.0515463917525769</v>
      </c>
      <c r="J40">
        <v>3.1875</v>
      </c>
      <c r="K40">
        <v>3.03125</v>
      </c>
      <c r="L40">
        <v>5.333333333333333</v>
      </c>
      <c r="M40">
        <v>151334226289</v>
      </c>
      <c r="N40">
        <v>6</v>
      </c>
      <c r="O40">
        <v>6</v>
      </c>
      <c r="P40">
        <v>97</v>
      </c>
      <c r="Q40">
        <v>32</v>
      </c>
      <c r="R40">
        <v>6</v>
      </c>
      <c r="S40">
        <v>12</v>
      </c>
      <c r="T40">
        <v>282</v>
      </c>
      <c r="U40">
        <v>51</v>
      </c>
      <c r="V40">
        <v>151334227930</v>
      </c>
      <c r="W40">
        <v>102</v>
      </c>
    </row>
    <row r="41" spans="1:23" x14ac:dyDescent="0.2">
      <c r="A41" t="s">
        <v>108</v>
      </c>
      <c r="B41" t="s">
        <v>157</v>
      </c>
      <c r="C41">
        <v>402.03531408309942</v>
      </c>
      <c r="D41">
        <v>1902</v>
      </c>
      <c r="E41">
        <v>3469</v>
      </c>
      <c r="F41">
        <v>8</v>
      </c>
      <c r="G41">
        <v>8</v>
      </c>
      <c r="H41">
        <v>1202.174757281553</v>
      </c>
      <c r="I41">
        <v>1.041450777202072</v>
      </c>
      <c r="J41">
        <v>1.9514563106796119</v>
      </c>
      <c r="K41">
        <v>1.8737864077669899</v>
      </c>
      <c r="L41">
        <v>12.875</v>
      </c>
      <c r="M41">
        <v>9899</v>
      </c>
      <c r="N41">
        <v>2</v>
      </c>
      <c r="O41">
        <v>3</v>
      </c>
      <c r="P41">
        <v>193</v>
      </c>
      <c r="Q41">
        <v>103</v>
      </c>
      <c r="R41">
        <v>8</v>
      </c>
      <c r="S41">
        <v>16</v>
      </c>
      <c r="T41">
        <v>1447</v>
      </c>
      <c r="U41">
        <v>109</v>
      </c>
      <c r="V41">
        <v>123824</v>
      </c>
      <c r="W41">
        <v>201</v>
      </c>
    </row>
    <row r="42" spans="1:23" x14ac:dyDescent="0.2">
      <c r="A42" t="s">
        <v>109</v>
      </c>
      <c r="B42" t="s">
        <v>157</v>
      </c>
      <c r="C42">
        <v>5071.4860701560974</v>
      </c>
      <c r="D42">
        <v>80</v>
      </c>
      <c r="E42">
        <v>7528</v>
      </c>
      <c r="F42">
        <v>4</v>
      </c>
      <c r="G42">
        <v>4</v>
      </c>
      <c r="H42">
        <v>115294.08108108109</v>
      </c>
      <c r="I42">
        <v>1.6481481481481479</v>
      </c>
      <c r="J42">
        <v>3.6081081081081079</v>
      </c>
      <c r="K42">
        <v>2.189189189189189</v>
      </c>
      <c r="L42">
        <v>18.5</v>
      </c>
      <c r="M42">
        <v>2985984</v>
      </c>
      <c r="N42">
        <v>3</v>
      </c>
      <c r="O42">
        <v>3</v>
      </c>
      <c r="P42">
        <v>162</v>
      </c>
      <c r="Q42">
        <v>74</v>
      </c>
      <c r="R42">
        <v>4</v>
      </c>
      <c r="S42">
        <v>12</v>
      </c>
      <c r="T42">
        <v>621</v>
      </c>
      <c r="U42">
        <v>26</v>
      </c>
      <c r="V42">
        <v>8531762</v>
      </c>
      <c r="W42">
        <v>267</v>
      </c>
    </row>
    <row r="43" spans="1:23" x14ac:dyDescent="0.2">
      <c r="A43" t="s">
        <v>110</v>
      </c>
      <c r="B43" t="s">
        <v>157</v>
      </c>
      <c r="C43">
        <v>315.67101001739502</v>
      </c>
      <c r="D43">
        <v>2370</v>
      </c>
      <c r="E43">
        <v>3825</v>
      </c>
      <c r="F43">
        <v>9</v>
      </c>
      <c r="G43">
        <v>9</v>
      </c>
      <c r="H43">
        <v>65.226415094339629</v>
      </c>
      <c r="I43">
        <v>1</v>
      </c>
      <c r="J43">
        <v>2.0377358490566042</v>
      </c>
      <c r="K43">
        <v>2.0377358490566042</v>
      </c>
      <c r="L43">
        <v>5.8888888888888893</v>
      </c>
      <c r="M43">
        <v>101</v>
      </c>
      <c r="N43">
        <v>1</v>
      </c>
      <c r="O43">
        <v>3</v>
      </c>
      <c r="P43">
        <v>108</v>
      </c>
      <c r="Q43">
        <v>53</v>
      </c>
      <c r="R43">
        <v>9</v>
      </c>
      <c r="S43">
        <v>9</v>
      </c>
      <c r="T43">
        <v>369</v>
      </c>
      <c r="U43">
        <v>57</v>
      </c>
      <c r="V43">
        <v>3457</v>
      </c>
      <c r="W43">
        <v>108</v>
      </c>
    </row>
    <row r="44" spans="1:23" x14ac:dyDescent="0.2">
      <c r="A44" t="s">
        <v>112</v>
      </c>
      <c r="B44" t="s">
        <v>157</v>
      </c>
      <c r="C44">
        <v>191.30707287788391</v>
      </c>
      <c r="D44">
        <v>1218</v>
      </c>
      <c r="E44">
        <v>1075</v>
      </c>
      <c r="F44">
        <v>9</v>
      </c>
      <c r="G44">
        <v>9</v>
      </c>
      <c r="H44">
        <v>58996447832941.812</v>
      </c>
      <c r="I44">
        <v>1.05521472392638</v>
      </c>
      <c r="J44">
        <v>1.6699029126213589</v>
      </c>
      <c r="K44">
        <v>1.5825242718446599</v>
      </c>
      <c r="L44">
        <v>11.444444444444439</v>
      </c>
      <c r="M44">
        <v>1212982689600000</v>
      </c>
      <c r="N44">
        <v>2</v>
      </c>
      <c r="O44">
        <v>3</v>
      </c>
      <c r="P44">
        <v>163</v>
      </c>
      <c r="Q44">
        <v>103</v>
      </c>
      <c r="R44">
        <v>9</v>
      </c>
      <c r="S44">
        <v>18</v>
      </c>
      <c r="T44">
        <v>1682</v>
      </c>
      <c r="U44">
        <v>143</v>
      </c>
      <c r="V44">
        <v>6076634126793007</v>
      </c>
      <c r="W44">
        <v>172</v>
      </c>
    </row>
    <row r="45" spans="1:23" x14ac:dyDescent="0.2">
      <c r="A45" t="s">
        <v>114</v>
      </c>
      <c r="B45" t="s">
        <v>157</v>
      </c>
      <c r="C45">
        <v>1.6149575710296631</v>
      </c>
      <c r="D45">
        <v>4</v>
      </c>
      <c r="E45">
        <v>117</v>
      </c>
      <c r="F45">
        <v>3</v>
      </c>
      <c r="G45">
        <v>2</v>
      </c>
      <c r="H45">
        <v>2055.909090909091</v>
      </c>
      <c r="I45">
        <v>5.8636363636363633</v>
      </c>
      <c r="J45">
        <v>5.8636363636363633</v>
      </c>
      <c r="K45">
        <v>1</v>
      </c>
      <c r="L45">
        <v>11</v>
      </c>
      <c r="M45">
        <v>8085</v>
      </c>
      <c r="N45">
        <v>11</v>
      </c>
      <c r="O45">
        <v>1</v>
      </c>
      <c r="P45">
        <v>22</v>
      </c>
      <c r="Q45">
        <v>22</v>
      </c>
      <c r="R45">
        <v>2</v>
      </c>
      <c r="S45">
        <v>13</v>
      </c>
      <c r="T45">
        <v>157</v>
      </c>
      <c r="U45">
        <v>4</v>
      </c>
      <c r="V45">
        <v>45230</v>
      </c>
      <c r="W45">
        <v>129</v>
      </c>
    </row>
    <row r="46" spans="1:23" x14ac:dyDescent="0.2">
      <c r="A46" t="s">
        <v>116</v>
      </c>
      <c r="B46" t="s">
        <v>157</v>
      </c>
      <c r="C46">
        <v>7.2323195934295654</v>
      </c>
      <c r="D46">
        <v>275</v>
      </c>
      <c r="E46">
        <v>376</v>
      </c>
      <c r="F46">
        <v>8</v>
      </c>
      <c r="G46">
        <v>8</v>
      </c>
      <c r="H46">
        <v>53.372549019607852</v>
      </c>
      <c r="I46">
        <v>1.053191489361702</v>
      </c>
      <c r="J46">
        <v>1.9411764705882351</v>
      </c>
      <c r="K46">
        <v>1.8431372549019609</v>
      </c>
      <c r="L46">
        <v>6.375</v>
      </c>
      <c r="M46">
        <v>284</v>
      </c>
      <c r="N46">
        <v>2</v>
      </c>
      <c r="O46">
        <v>3</v>
      </c>
      <c r="P46">
        <v>94</v>
      </c>
      <c r="Q46">
        <v>51</v>
      </c>
      <c r="R46">
        <v>8</v>
      </c>
      <c r="S46">
        <v>9</v>
      </c>
      <c r="T46">
        <v>360</v>
      </c>
      <c r="U46">
        <v>54</v>
      </c>
      <c r="V46">
        <v>2722</v>
      </c>
      <c r="W46">
        <v>99</v>
      </c>
    </row>
    <row r="47" spans="1:23" x14ac:dyDescent="0.2">
      <c r="A47" t="s">
        <v>118</v>
      </c>
      <c r="B47" t="s">
        <v>157</v>
      </c>
      <c r="C47">
        <v>7.9981951713562012</v>
      </c>
      <c r="D47">
        <v>659</v>
      </c>
      <c r="E47">
        <v>1273</v>
      </c>
      <c r="F47">
        <v>8</v>
      </c>
      <c r="G47">
        <v>8</v>
      </c>
      <c r="H47">
        <v>57.395348837209298</v>
      </c>
      <c r="I47">
        <v>1</v>
      </c>
      <c r="J47">
        <v>1.4651162790697669</v>
      </c>
      <c r="K47">
        <v>1.4651162790697669</v>
      </c>
      <c r="L47">
        <v>5.375</v>
      </c>
      <c r="M47">
        <v>89</v>
      </c>
      <c r="N47">
        <v>1</v>
      </c>
      <c r="O47">
        <v>2</v>
      </c>
      <c r="P47">
        <v>63</v>
      </c>
      <c r="Q47">
        <v>43</v>
      </c>
      <c r="R47">
        <v>8</v>
      </c>
      <c r="S47">
        <v>8</v>
      </c>
      <c r="T47">
        <v>281</v>
      </c>
      <c r="U47">
        <v>50</v>
      </c>
      <c r="V47">
        <v>2468</v>
      </c>
      <c r="W47">
        <v>63</v>
      </c>
    </row>
    <row r="48" spans="1:23" x14ac:dyDescent="0.2">
      <c r="A48" t="s">
        <v>122</v>
      </c>
      <c r="B48" t="s">
        <v>157</v>
      </c>
      <c r="C48">
        <v>37.922319889068604</v>
      </c>
      <c r="D48">
        <v>568</v>
      </c>
      <c r="E48">
        <v>1323</v>
      </c>
      <c r="F48">
        <v>8</v>
      </c>
      <c r="G48">
        <v>8</v>
      </c>
      <c r="H48">
        <v>23.216666666666669</v>
      </c>
      <c r="I48">
        <v>1.590361445783133</v>
      </c>
      <c r="J48">
        <v>2.2000000000000002</v>
      </c>
      <c r="K48">
        <v>1.3833333333333331</v>
      </c>
      <c r="L48">
        <v>7.5</v>
      </c>
      <c r="M48">
        <v>332</v>
      </c>
      <c r="N48">
        <v>4</v>
      </c>
      <c r="O48">
        <v>4</v>
      </c>
      <c r="P48">
        <v>83</v>
      </c>
      <c r="Q48">
        <v>60</v>
      </c>
      <c r="R48">
        <v>8</v>
      </c>
      <c r="S48">
        <v>14</v>
      </c>
      <c r="T48">
        <v>708</v>
      </c>
      <c r="U48">
        <v>87</v>
      </c>
      <c r="V48">
        <v>1393</v>
      </c>
      <c r="W48">
        <v>132</v>
      </c>
    </row>
    <row r="49" spans="1:23" x14ac:dyDescent="0.2">
      <c r="A49" t="s">
        <v>124</v>
      </c>
      <c r="B49" t="s">
        <v>157</v>
      </c>
      <c r="C49">
        <v>622.96505355834961</v>
      </c>
      <c r="D49">
        <v>2237</v>
      </c>
      <c r="E49">
        <v>7399</v>
      </c>
      <c r="F49">
        <v>9</v>
      </c>
      <c r="G49">
        <v>9</v>
      </c>
      <c r="H49">
        <v>296.59459459459458</v>
      </c>
      <c r="I49">
        <v>1.1025641025641031</v>
      </c>
      <c r="J49">
        <v>1.743243243243243</v>
      </c>
      <c r="K49">
        <v>1.5810810810810809</v>
      </c>
      <c r="L49">
        <v>8.2222222222222214</v>
      </c>
      <c r="M49">
        <v>6241</v>
      </c>
      <c r="N49">
        <v>2</v>
      </c>
      <c r="O49">
        <v>2</v>
      </c>
      <c r="P49">
        <v>117</v>
      </c>
      <c r="Q49">
        <v>74</v>
      </c>
      <c r="R49">
        <v>9</v>
      </c>
      <c r="S49">
        <v>18</v>
      </c>
      <c r="T49">
        <v>1203</v>
      </c>
      <c r="U49">
        <v>145</v>
      </c>
      <c r="V49">
        <v>21948</v>
      </c>
      <c r="W49">
        <v>129</v>
      </c>
    </row>
    <row r="50" spans="1:23" x14ac:dyDescent="0.2">
      <c r="A50" t="s">
        <v>126</v>
      </c>
      <c r="B50" t="s">
        <v>157</v>
      </c>
      <c r="C50">
        <v>13.40174531936646</v>
      </c>
      <c r="D50">
        <v>424</v>
      </c>
      <c r="E50">
        <v>448</v>
      </c>
      <c r="F50">
        <v>9</v>
      </c>
      <c r="G50">
        <v>9</v>
      </c>
      <c r="H50">
        <v>1121.4098360655739</v>
      </c>
      <c r="I50">
        <v>1.1475409836065571</v>
      </c>
      <c r="J50">
        <v>1.1475409836065571</v>
      </c>
      <c r="K50">
        <v>1</v>
      </c>
      <c r="L50">
        <v>6.7777777777777777</v>
      </c>
      <c r="M50">
        <v>10609</v>
      </c>
      <c r="N50">
        <v>2</v>
      </c>
      <c r="O50">
        <v>2</v>
      </c>
      <c r="P50">
        <v>61</v>
      </c>
      <c r="Q50">
        <v>61</v>
      </c>
      <c r="R50">
        <v>9</v>
      </c>
      <c r="S50">
        <v>18</v>
      </c>
      <c r="T50">
        <v>1028</v>
      </c>
      <c r="U50">
        <v>147</v>
      </c>
      <c r="V50">
        <v>68406</v>
      </c>
      <c r="W50">
        <v>70</v>
      </c>
    </row>
    <row r="51" spans="1:23" x14ac:dyDescent="0.2">
      <c r="A51" t="s">
        <v>127</v>
      </c>
      <c r="B51" t="s">
        <v>157</v>
      </c>
      <c r="C51">
        <v>345.60641598701483</v>
      </c>
      <c r="D51">
        <v>3291</v>
      </c>
      <c r="E51">
        <v>3330</v>
      </c>
      <c r="F51">
        <v>12</v>
      </c>
      <c r="G51">
        <v>12</v>
      </c>
      <c r="H51">
        <v>16.428571428571431</v>
      </c>
      <c r="I51">
        <v>1</v>
      </c>
      <c r="J51">
        <v>1.6326530612244901</v>
      </c>
      <c r="K51">
        <v>1.6326530612244901</v>
      </c>
      <c r="L51">
        <v>8.1666666666666661</v>
      </c>
      <c r="M51">
        <v>151</v>
      </c>
      <c r="N51">
        <v>1</v>
      </c>
      <c r="O51">
        <v>3</v>
      </c>
      <c r="P51">
        <v>160</v>
      </c>
      <c r="Q51">
        <v>98</v>
      </c>
      <c r="R51">
        <v>12</v>
      </c>
      <c r="S51">
        <v>12</v>
      </c>
      <c r="T51">
        <v>1016</v>
      </c>
      <c r="U51">
        <v>120</v>
      </c>
      <c r="V51">
        <v>1610</v>
      </c>
      <c r="W51">
        <v>160</v>
      </c>
    </row>
    <row r="52" spans="1:23" x14ac:dyDescent="0.2">
      <c r="A52" t="s">
        <v>132</v>
      </c>
      <c r="B52" t="s">
        <v>157</v>
      </c>
      <c r="C52">
        <v>3.3885467052459721</v>
      </c>
      <c r="D52">
        <v>47</v>
      </c>
      <c r="E52">
        <v>193</v>
      </c>
      <c r="F52">
        <v>4</v>
      </c>
      <c r="G52">
        <v>4</v>
      </c>
      <c r="H52">
        <v>1.8</v>
      </c>
      <c r="I52">
        <v>3.5</v>
      </c>
      <c r="J52">
        <v>2.8</v>
      </c>
      <c r="K52">
        <v>0.8</v>
      </c>
      <c r="L52">
        <v>5</v>
      </c>
      <c r="M52">
        <v>2</v>
      </c>
      <c r="N52">
        <v>5</v>
      </c>
      <c r="O52">
        <v>1</v>
      </c>
      <c r="P52">
        <v>16</v>
      </c>
      <c r="Q52">
        <v>20</v>
      </c>
      <c r="R52">
        <v>4</v>
      </c>
      <c r="S52">
        <v>20</v>
      </c>
      <c r="T52">
        <v>344</v>
      </c>
      <c r="U52">
        <v>66</v>
      </c>
      <c r="V52">
        <v>36</v>
      </c>
      <c r="W52">
        <v>56</v>
      </c>
    </row>
    <row r="53" spans="1:23" x14ac:dyDescent="0.2">
      <c r="A53" t="s">
        <v>133</v>
      </c>
      <c r="B53" t="s">
        <v>157</v>
      </c>
      <c r="C53">
        <v>4.7238864898681641</v>
      </c>
      <c r="D53">
        <v>318</v>
      </c>
      <c r="E53">
        <v>79</v>
      </c>
      <c r="F53">
        <v>9</v>
      </c>
      <c r="G53">
        <v>9</v>
      </c>
      <c r="H53">
        <v>14.88372093023256</v>
      </c>
      <c r="I53">
        <v>1.671428571428571</v>
      </c>
      <c r="J53">
        <v>2.720930232558139</v>
      </c>
      <c r="K53">
        <v>1.6279069767441861</v>
      </c>
      <c r="L53">
        <v>4.7777777777777777</v>
      </c>
      <c r="M53">
        <v>83</v>
      </c>
      <c r="N53">
        <v>4</v>
      </c>
      <c r="O53">
        <v>3</v>
      </c>
      <c r="P53">
        <v>70</v>
      </c>
      <c r="Q53">
        <v>43</v>
      </c>
      <c r="R53">
        <v>9</v>
      </c>
      <c r="S53">
        <v>24</v>
      </c>
      <c r="T53">
        <v>915</v>
      </c>
      <c r="U53">
        <v>184</v>
      </c>
      <c r="V53">
        <v>640</v>
      </c>
      <c r="W53">
        <v>117</v>
      </c>
    </row>
    <row r="54" spans="1:23" x14ac:dyDescent="0.2">
      <c r="A54" t="s">
        <v>135</v>
      </c>
      <c r="B54" t="s">
        <v>157</v>
      </c>
      <c r="C54">
        <v>2227.985970973969</v>
      </c>
      <c r="D54">
        <v>7172</v>
      </c>
      <c r="E54">
        <v>15941</v>
      </c>
      <c r="F54">
        <v>10</v>
      </c>
      <c r="G54">
        <v>10</v>
      </c>
      <c r="H54">
        <v>87.6875</v>
      </c>
      <c r="I54">
        <v>0.95</v>
      </c>
      <c r="J54">
        <v>2.671875</v>
      </c>
      <c r="K54">
        <v>2.8125</v>
      </c>
      <c r="L54">
        <v>6.4</v>
      </c>
      <c r="M54">
        <v>113</v>
      </c>
      <c r="N54">
        <v>1</v>
      </c>
      <c r="O54">
        <v>4</v>
      </c>
      <c r="P54">
        <v>180</v>
      </c>
      <c r="Q54">
        <v>64</v>
      </c>
      <c r="R54">
        <v>10</v>
      </c>
      <c r="S54">
        <v>10</v>
      </c>
      <c r="T54">
        <v>469</v>
      </c>
      <c r="U54">
        <v>65</v>
      </c>
      <c r="V54">
        <v>5612</v>
      </c>
      <c r="W54">
        <v>171</v>
      </c>
    </row>
    <row r="55" spans="1:23" x14ac:dyDescent="0.2">
      <c r="A55" t="s">
        <v>137</v>
      </c>
      <c r="B55" t="s">
        <v>157</v>
      </c>
      <c r="C55">
        <v>2496.6519794464111</v>
      </c>
      <c r="D55">
        <v>11601</v>
      </c>
      <c r="E55">
        <v>11766</v>
      </c>
      <c r="F55">
        <v>14</v>
      </c>
      <c r="G55">
        <v>15</v>
      </c>
      <c r="H55">
        <v>57.965367965367967</v>
      </c>
      <c r="I55">
        <v>1</v>
      </c>
      <c r="J55">
        <v>2.8138528138528138</v>
      </c>
      <c r="K55">
        <v>2.8138528138528138</v>
      </c>
      <c r="L55">
        <v>30.8</v>
      </c>
      <c r="M55">
        <v>181</v>
      </c>
      <c r="N55">
        <v>1</v>
      </c>
      <c r="O55">
        <v>4</v>
      </c>
      <c r="P55">
        <v>1300</v>
      </c>
      <c r="Q55">
        <v>462</v>
      </c>
      <c r="R55">
        <v>15</v>
      </c>
      <c r="S55">
        <v>14</v>
      </c>
      <c r="T55">
        <v>5168</v>
      </c>
      <c r="U55">
        <v>176</v>
      </c>
      <c r="V55">
        <v>26780</v>
      </c>
      <c r="W55">
        <v>1300</v>
      </c>
    </row>
    <row r="56" spans="1:23" x14ac:dyDescent="0.2">
      <c r="A56" t="s">
        <v>139</v>
      </c>
      <c r="B56" t="s">
        <v>157</v>
      </c>
      <c r="C56">
        <v>31.47201228141785</v>
      </c>
      <c r="D56">
        <v>548</v>
      </c>
      <c r="E56">
        <v>3164</v>
      </c>
      <c r="F56">
        <v>6</v>
      </c>
      <c r="G56">
        <v>6</v>
      </c>
      <c r="H56">
        <v>43.6875</v>
      </c>
      <c r="I56">
        <v>1</v>
      </c>
      <c r="J56">
        <v>3</v>
      </c>
      <c r="K56">
        <v>3</v>
      </c>
      <c r="L56">
        <v>5.333333333333333</v>
      </c>
      <c r="M56">
        <v>61</v>
      </c>
      <c r="N56">
        <v>1</v>
      </c>
      <c r="O56">
        <v>6</v>
      </c>
      <c r="P56">
        <v>96</v>
      </c>
      <c r="Q56">
        <v>32</v>
      </c>
      <c r="R56">
        <v>6</v>
      </c>
      <c r="S56">
        <v>6</v>
      </c>
      <c r="T56">
        <v>96</v>
      </c>
      <c r="U56">
        <v>15</v>
      </c>
      <c r="V56">
        <v>1398</v>
      </c>
      <c r="W56">
        <v>96</v>
      </c>
    </row>
    <row r="57" spans="1:23" x14ac:dyDescent="0.2">
      <c r="A57" t="s">
        <v>141</v>
      </c>
      <c r="B57" t="s">
        <v>157</v>
      </c>
      <c r="C57">
        <v>1048.470063447952</v>
      </c>
      <c r="D57">
        <v>2933</v>
      </c>
      <c r="E57">
        <v>6476</v>
      </c>
      <c r="F57">
        <v>13</v>
      </c>
      <c r="G57">
        <v>11</v>
      </c>
      <c r="H57">
        <v>43.871794871794869</v>
      </c>
      <c r="I57">
        <v>1.1875</v>
      </c>
      <c r="J57">
        <v>1.9487179487179489</v>
      </c>
      <c r="K57">
        <v>1.641025641025641</v>
      </c>
      <c r="L57">
        <v>3.545454545454545</v>
      </c>
      <c r="M57">
        <v>167</v>
      </c>
      <c r="N57">
        <v>3</v>
      </c>
      <c r="O57">
        <v>4</v>
      </c>
      <c r="P57">
        <v>64</v>
      </c>
      <c r="Q57">
        <v>39</v>
      </c>
      <c r="R57">
        <v>11</v>
      </c>
      <c r="S57">
        <v>19</v>
      </c>
      <c r="T57">
        <v>665</v>
      </c>
      <c r="U57">
        <v>181</v>
      </c>
      <c r="V57">
        <v>1711</v>
      </c>
      <c r="W57">
        <v>76</v>
      </c>
    </row>
    <row r="58" spans="1:23" x14ac:dyDescent="0.2">
      <c r="A58" t="s">
        <v>142</v>
      </c>
      <c r="B58" t="s">
        <v>157</v>
      </c>
      <c r="C58">
        <v>1021.735809087753</v>
      </c>
      <c r="D58">
        <v>831</v>
      </c>
      <c r="E58">
        <v>5231</v>
      </c>
      <c r="F58">
        <v>6</v>
      </c>
      <c r="G58">
        <v>6</v>
      </c>
      <c r="H58">
        <v>1.857142857142857</v>
      </c>
      <c r="I58">
        <v>4.5</v>
      </c>
      <c r="J58">
        <v>3.8571428571428572</v>
      </c>
      <c r="K58">
        <v>0.8571428571428571</v>
      </c>
      <c r="L58">
        <v>7</v>
      </c>
      <c r="M58">
        <v>2</v>
      </c>
      <c r="N58">
        <v>7</v>
      </c>
      <c r="O58">
        <v>1</v>
      </c>
      <c r="P58">
        <v>36</v>
      </c>
      <c r="Q58">
        <v>42</v>
      </c>
      <c r="R58">
        <v>6</v>
      </c>
      <c r="S58">
        <v>42</v>
      </c>
      <c r="T58">
        <v>1602</v>
      </c>
      <c r="U58">
        <v>225</v>
      </c>
      <c r="V58">
        <v>78</v>
      </c>
      <c r="W58">
        <v>162</v>
      </c>
    </row>
    <row r="59" spans="1:23" x14ac:dyDescent="0.2">
      <c r="A59" t="s">
        <v>145</v>
      </c>
      <c r="B59" t="s">
        <v>157</v>
      </c>
      <c r="C59">
        <v>3053.611735105515</v>
      </c>
      <c r="D59">
        <v>13697</v>
      </c>
      <c r="E59">
        <v>54001</v>
      </c>
      <c r="F59">
        <v>8</v>
      </c>
      <c r="G59">
        <v>11</v>
      </c>
      <c r="H59">
        <v>768629.7168141593</v>
      </c>
      <c r="I59">
        <v>1.8048780487804881</v>
      </c>
      <c r="J59">
        <v>3.9292035398230092</v>
      </c>
      <c r="K59">
        <v>2.1769911504424782</v>
      </c>
      <c r="L59">
        <v>10.27272727272727</v>
      </c>
      <c r="M59">
        <v>47458321</v>
      </c>
      <c r="N59">
        <v>6</v>
      </c>
      <c r="O59">
        <v>4</v>
      </c>
      <c r="P59">
        <v>246</v>
      </c>
      <c r="Q59">
        <v>113</v>
      </c>
      <c r="R59">
        <v>11</v>
      </c>
      <c r="S59">
        <v>32</v>
      </c>
      <c r="T59">
        <v>3172</v>
      </c>
      <c r="U59">
        <v>311</v>
      </c>
      <c r="V59">
        <v>86855158</v>
      </c>
      <c r="W59">
        <v>444</v>
      </c>
    </row>
    <row r="60" spans="1:23" x14ac:dyDescent="0.2">
      <c r="A60" t="s">
        <v>146</v>
      </c>
      <c r="B60" t="s">
        <v>157</v>
      </c>
      <c r="C60">
        <v>27.149557828903198</v>
      </c>
      <c r="D60">
        <v>109</v>
      </c>
      <c r="E60">
        <v>2036</v>
      </c>
      <c r="F60">
        <v>6</v>
      </c>
      <c r="G60">
        <v>4</v>
      </c>
      <c r="H60">
        <v>15.0625</v>
      </c>
      <c r="I60">
        <v>1.1379310344827589</v>
      </c>
      <c r="J60">
        <v>4.125</v>
      </c>
      <c r="K60">
        <v>3.625</v>
      </c>
      <c r="L60">
        <v>24</v>
      </c>
      <c r="M60">
        <v>53</v>
      </c>
      <c r="N60">
        <v>2</v>
      </c>
      <c r="O60">
        <v>6</v>
      </c>
      <c r="P60">
        <v>348</v>
      </c>
      <c r="Q60">
        <v>96</v>
      </c>
      <c r="R60">
        <v>4</v>
      </c>
      <c r="S60">
        <v>10</v>
      </c>
      <c r="T60">
        <v>564</v>
      </c>
      <c r="U60">
        <v>16</v>
      </c>
      <c r="V60">
        <v>1446</v>
      </c>
      <c r="W60">
        <v>396</v>
      </c>
    </row>
    <row r="61" spans="1:23" x14ac:dyDescent="0.2">
      <c r="A61" t="s">
        <v>148</v>
      </c>
      <c r="B61" t="s">
        <v>157</v>
      </c>
      <c r="C61">
        <v>375.20069694519037</v>
      </c>
      <c r="D61">
        <v>1425</v>
      </c>
      <c r="E61">
        <v>16107</v>
      </c>
      <c r="F61">
        <v>6</v>
      </c>
      <c r="G61">
        <v>6</v>
      </c>
      <c r="H61">
        <v>10.142857142857141</v>
      </c>
      <c r="I61">
        <v>1.454545454545455</v>
      </c>
      <c r="J61">
        <v>2.285714285714286</v>
      </c>
      <c r="K61">
        <v>1.571428571428571</v>
      </c>
      <c r="L61">
        <v>7</v>
      </c>
      <c r="M61">
        <v>11</v>
      </c>
      <c r="N61">
        <v>2</v>
      </c>
      <c r="O61">
        <v>2</v>
      </c>
      <c r="P61">
        <v>66</v>
      </c>
      <c r="Q61">
        <v>42</v>
      </c>
      <c r="R61">
        <v>6</v>
      </c>
      <c r="S61">
        <v>12</v>
      </c>
      <c r="T61">
        <v>408</v>
      </c>
      <c r="U61">
        <v>54</v>
      </c>
      <c r="V61">
        <v>426</v>
      </c>
      <c r="W61">
        <v>96</v>
      </c>
    </row>
    <row r="62" spans="1:23" x14ac:dyDescent="0.2">
      <c r="A62" t="s">
        <v>149</v>
      </c>
      <c r="B62" t="s">
        <v>157</v>
      </c>
      <c r="C62">
        <v>181.15041136741641</v>
      </c>
      <c r="D62">
        <v>1218</v>
      </c>
      <c r="E62">
        <v>1065</v>
      </c>
      <c r="F62">
        <v>9</v>
      </c>
      <c r="G62">
        <v>9</v>
      </c>
      <c r="H62">
        <v>58996447832941.812</v>
      </c>
      <c r="I62">
        <v>1.05521472392638</v>
      </c>
      <c r="J62">
        <v>1.6699029126213589</v>
      </c>
      <c r="K62">
        <v>1.5825242718446599</v>
      </c>
      <c r="L62">
        <v>11.444444444444439</v>
      </c>
      <c r="M62">
        <v>1212982689600000</v>
      </c>
      <c r="N62">
        <v>2</v>
      </c>
      <c r="O62">
        <v>3</v>
      </c>
      <c r="P62">
        <v>163</v>
      </c>
      <c r="Q62">
        <v>103</v>
      </c>
      <c r="R62">
        <v>9</v>
      </c>
      <c r="S62">
        <v>18</v>
      </c>
      <c r="T62">
        <v>1682</v>
      </c>
      <c r="U62">
        <v>143</v>
      </c>
      <c r="V62">
        <v>6076634126793007</v>
      </c>
      <c r="W62">
        <v>172</v>
      </c>
    </row>
    <row r="63" spans="1:23" x14ac:dyDescent="0.2">
      <c r="A63" t="s">
        <v>150</v>
      </c>
      <c r="B63" t="s">
        <v>157</v>
      </c>
      <c r="C63">
        <v>590.92358946800232</v>
      </c>
      <c r="D63">
        <v>2210</v>
      </c>
      <c r="E63">
        <v>3921</v>
      </c>
      <c r="F63">
        <v>11</v>
      </c>
      <c r="G63">
        <v>11</v>
      </c>
      <c r="H63">
        <v>1914.8809523809521</v>
      </c>
      <c r="I63">
        <v>1.2325581395348839</v>
      </c>
      <c r="J63">
        <v>1.2619047619047621</v>
      </c>
      <c r="K63">
        <v>1.0238095238095239</v>
      </c>
      <c r="L63">
        <v>3.8181818181818179</v>
      </c>
      <c r="M63">
        <v>17161</v>
      </c>
      <c r="N63">
        <v>2</v>
      </c>
      <c r="O63">
        <v>3</v>
      </c>
      <c r="P63">
        <v>43</v>
      </c>
      <c r="Q63">
        <v>42</v>
      </c>
      <c r="R63">
        <v>11</v>
      </c>
      <c r="S63">
        <v>21</v>
      </c>
      <c r="T63">
        <v>829</v>
      </c>
      <c r="U63">
        <v>211</v>
      </c>
      <c r="V63">
        <v>80425</v>
      </c>
      <c r="W63">
        <v>53</v>
      </c>
    </row>
    <row r="64" spans="1:23" x14ac:dyDescent="0.2">
      <c r="A64" t="s">
        <v>154</v>
      </c>
      <c r="B64" t="s">
        <v>157</v>
      </c>
      <c r="C64">
        <v>3.8009169101715088</v>
      </c>
      <c r="D64">
        <v>39</v>
      </c>
      <c r="E64">
        <v>158</v>
      </c>
      <c r="F64">
        <v>5</v>
      </c>
      <c r="G64">
        <v>4</v>
      </c>
      <c r="H64">
        <v>391.11111111111109</v>
      </c>
      <c r="I64">
        <v>1.8269230769230771</v>
      </c>
      <c r="J64">
        <v>4.2222222222222223</v>
      </c>
      <c r="K64">
        <v>2.3111111111111109</v>
      </c>
      <c r="L64">
        <v>11.25</v>
      </c>
      <c r="M64">
        <v>5184</v>
      </c>
      <c r="N64">
        <v>4</v>
      </c>
      <c r="O64">
        <v>4</v>
      </c>
      <c r="P64">
        <v>104</v>
      </c>
      <c r="Q64">
        <v>45</v>
      </c>
      <c r="R64">
        <v>4</v>
      </c>
      <c r="S64">
        <v>13</v>
      </c>
      <c r="T64">
        <v>395</v>
      </c>
      <c r="U64">
        <v>27</v>
      </c>
      <c r="V64">
        <v>17600</v>
      </c>
      <c r="W64">
        <v>190</v>
      </c>
    </row>
    <row r="65" spans="1:23" x14ac:dyDescent="0.2">
      <c r="A65" t="s">
        <v>155</v>
      </c>
      <c r="B65" t="s">
        <v>157</v>
      </c>
      <c r="C65">
        <v>9.5574901103973389</v>
      </c>
      <c r="D65">
        <v>4951</v>
      </c>
      <c r="E65">
        <v>6888</v>
      </c>
      <c r="F65">
        <v>16</v>
      </c>
      <c r="G65">
        <v>16</v>
      </c>
      <c r="H65">
        <v>2207.5</v>
      </c>
      <c r="I65">
        <v>1.032258064516129</v>
      </c>
      <c r="J65">
        <v>2</v>
      </c>
      <c r="K65">
        <v>1.9375</v>
      </c>
      <c r="L65">
        <v>4</v>
      </c>
      <c r="M65">
        <v>49729</v>
      </c>
      <c r="N65">
        <v>2</v>
      </c>
      <c r="O65">
        <v>2</v>
      </c>
      <c r="P65">
        <v>124</v>
      </c>
      <c r="Q65">
        <v>64</v>
      </c>
      <c r="R65">
        <v>16</v>
      </c>
      <c r="S65">
        <v>20</v>
      </c>
      <c r="T65">
        <v>1152</v>
      </c>
      <c r="U65">
        <v>288</v>
      </c>
      <c r="V65">
        <v>141280</v>
      </c>
      <c r="W65">
        <v>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4019-C096-924C-AB1E-ED2363C97615}">
  <dimension ref="A1:F73"/>
  <sheetViews>
    <sheetView topLeftCell="A38" workbookViewId="0">
      <selection activeCell="L58" sqref="L58"/>
    </sheetView>
  </sheetViews>
  <sheetFormatPr baseColWidth="10" defaultRowHeight="15" x14ac:dyDescent="0.2"/>
  <sheetData>
    <row r="1" spans="1:6" x14ac:dyDescent="0.2">
      <c r="A1" t="s">
        <v>0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</row>
    <row r="2" spans="1:6" x14ac:dyDescent="0.2">
      <c r="A2" t="s">
        <v>23</v>
      </c>
      <c r="B2">
        <f>IFERROR(VLOOKUP($A2,'[1]results-baseline'!$A:$C,3,FALSE),"")</f>
        <v>36.158915042877197</v>
      </c>
      <c r="C2">
        <f>IFERROR(VLOOKUP($A2,'[1]results-large'!$A:$C,3,FALSE),"")</f>
        <v>62.11402702331543</v>
      </c>
      <c r="D2">
        <f>IFERROR(VLOOKUP($A2,'[1]results-medium'!$A:$C,3,FALSE),"")</f>
        <v>55.535470008850098</v>
      </c>
      <c r="E2">
        <f>IFERROR(VLOOKUP($A2,'[1]results-signed'!$A:$C,3,FALSE),"")</f>
        <v>52.838376998901367</v>
      </c>
      <c r="F2">
        <f>IFERROR(VLOOKUP($A2,'[1]results-small'!$A:$C,3,FALSE),"")</f>
        <v>50.373937129974372</v>
      </c>
    </row>
    <row r="3" spans="1:6" x14ac:dyDescent="0.2">
      <c r="A3" t="s">
        <v>25</v>
      </c>
      <c r="B3">
        <f>IFERROR(VLOOKUP($A3,'[1]results-baseline'!$A:$C,3,FALSE),"")</f>
        <v>264.64051365852362</v>
      </c>
      <c r="C3">
        <f>IFERROR(VLOOKUP($A3,'[1]results-large'!$A:$C,3,FALSE),"")</f>
        <v>327.68848347663879</v>
      </c>
      <c r="D3">
        <f>IFERROR(VLOOKUP($A3,'[1]results-medium'!$A:$C,3,FALSE),"")</f>
        <v>218.5860230922699</v>
      </c>
      <c r="E3">
        <f>IFERROR(VLOOKUP($A3,'[1]results-signed'!$A:$C,3,FALSE),"")</f>
        <v>228.75973320007321</v>
      </c>
      <c r="F3">
        <f>IFERROR(VLOOKUP($A3,'[1]results-small'!$A:$C,3,FALSE),"")</f>
        <v>226.5109148025513</v>
      </c>
    </row>
    <row r="4" spans="1:6" x14ac:dyDescent="0.2">
      <c r="A4" t="s">
        <v>26</v>
      </c>
      <c r="B4">
        <f>IFERROR(VLOOKUP($A4,'[1]results-baseline'!$A:$C,3,FALSE),"")</f>
        <v>38.956564426422119</v>
      </c>
      <c r="C4">
        <f>IFERROR(VLOOKUP($A4,'[1]results-large'!$A:$C,3,FALSE),"")</f>
        <v>51.364928007125847</v>
      </c>
      <c r="D4">
        <f>IFERROR(VLOOKUP($A4,'[1]results-medium'!$A:$C,3,FALSE),"")</f>
        <v>43.680763483047492</v>
      </c>
      <c r="E4">
        <f>IFERROR(VLOOKUP($A4,'[1]results-signed'!$A:$C,3,FALSE),"")</f>
        <v>35.502800226211548</v>
      </c>
      <c r="F4">
        <f>IFERROR(VLOOKUP($A4,'[1]results-small'!$A:$C,3,FALSE),"")</f>
        <v>44.915988683700562</v>
      </c>
    </row>
    <row r="5" spans="1:6" x14ac:dyDescent="0.2">
      <c r="A5" t="s">
        <v>27</v>
      </c>
      <c r="B5">
        <f>IFERROR(VLOOKUP($A5,'[1]results-baseline'!$A:$C,3,FALSE),"")</f>
        <v>274.73450613021851</v>
      </c>
      <c r="C5">
        <f>IFERROR(VLOOKUP($A5,'[1]results-large'!$A:$C,3,FALSE),"")</f>
        <v>331.646723985672</v>
      </c>
      <c r="D5">
        <f>IFERROR(VLOOKUP($A5,'[1]results-medium'!$A:$C,3,FALSE),"")</f>
        <v>295.52030849456793</v>
      </c>
      <c r="E5">
        <f>IFERROR(VLOOKUP($A5,'[1]results-signed'!$A:$C,3,FALSE),"")</f>
        <v>296.66057658195501</v>
      </c>
      <c r="F5">
        <f>IFERROR(VLOOKUP($A5,'[1]results-small'!$A:$C,3,FALSE),"")</f>
        <v>304.17291402816772</v>
      </c>
    </row>
    <row r="6" spans="1:6" x14ac:dyDescent="0.2">
      <c r="A6" t="s">
        <v>30</v>
      </c>
      <c r="B6">
        <f>IFERROR(VLOOKUP($A6,'[1]results-baseline'!$A:$C,3,FALSE),"")</f>
        <v>5.3499529361724854</v>
      </c>
      <c r="C6">
        <f>IFERROR(VLOOKUP($A6,'[1]results-large'!$A:$C,3,FALSE),"")</f>
        <v>6.6501693725585938</v>
      </c>
      <c r="D6">
        <f>IFERROR(VLOOKUP($A6,'[1]results-medium'!$A:$C,3,FALSE),"")</f>
        <v>6.0836923122406006</v>
      </c>
      <c r="E6">
        <f>IFERROR(VLOOKUP($A6,'[1]results-signed'!$A:$C,3,FALSE),"")</f>
        <v>6.4706821441650391</v>
      </c>
      <c r="F6">
        <f>IFERROR(VLOOKUP($A6,'[1]results-small'!$A:$C,3,FALSE),"")</f>
        <v>6.878300666809082</v>
      </c>
    </row>
    <row r="7" spans="1:6" x14ac:dyDescent="0.2">
      <c r="A7" t="s">
        <v>31</v>
      </c>
      <c r="B7">
        <f>IFERROR(VLOOKUP($A7,'[1]results-baseline'!$A:$C,3,FALSE),"")</f>
        <v>2189.1673905849461</v>
      </c>
      <c r="C7">
        <f>IFERROR(VLOOKUP($A7,'[1]results-large'!$A:$C,3,FALSE),"")</f>
        <v>1572.316743612289</v>
      </c>
      <c r="D7">
        <f>IFERROR(VLOOKUP($A7,'[1]results-medium'!$A:$C,3,FALSE),"")</f>
        <v>1648.710386753082</v>
      </c>
      <c r="E7">
        <f>IFERROR(VLOOKUP($A7,'[1]results-signed'!$A:$C,3,FALSE),"")</f>
        <v>1465.963356971741</v>
      </c>
      <c r="F7">
        <f>IFERROR(VLOOKUP($A7,'[1]results-small'!$A:$C,3,FALSE),"")</f>
        <v>1479.125207901001</v>
      </c>
    </row>
    <row r="8" spans="1:6" x14ac:dyDescent="0.2">
      <c r="A8" t="s">
        <v>33</v>
      </c>
      <c r="B8">
        <f>IFERROR(VLOOKUP($A8,'[1]results-baseline'!$A:$C,3,FALSE),"")</f>
        <v>62.350943326950073</v>
      </c>
      <c r="C8">
        <f>IFERROR(VLOOKUP($A8,'[1]results-large'!$A:$C,3,FALSE),"")</f>
        <v>70.445943832397461</v>
      </c>
      <c r="D8">
        <f>IFERROR(VLOOKUP($A8,'[1]results-medium'!$A:$C,3,FALSE),"")</f>
        <v>47.205440282821662</v>
      </c>
      <c r="E8">
        <f>IFERROR(VLOOKUP($A8,'[1]results-signed'!$A:$C,3,FALSE),"")</f>
        <v>48.641052961349487</v>
      </c>
      <c r="F8">
        <f>IFERROR(VLOOKUP($A8,'[1]results-small'!$A:$C,3,FALSE),"")</f>
        <v>52.027010202407837</v>
      </c>
    </row>
    <row r="9" spans="1:6" x14ac:dyDescent="0.2">
      <c r="A9" t="s">
        <v>35</v>
      </c>
      <c r="B9">
        <f>IFERROR(VLOOKUP($A9,'[1]results-baseline'!$A:$C,3,FALSE),"")</f>
        <v>2.0045819282531738</v>
      </c>
      <c r="C9">
        <f>IFERROR(VLOOKUP($A9,'[1]results-large'!$A:$C,3,FALSE),"")</f>
        <v>2.0594253540039058</v>
      </c>
      <c r="D9">
        <f>IFERROR(VLOOKUP($A9,'[1]results-medium'!$A:$C,3,FALSE),"")</f>
        <v>1.2788629531860349</v>
      </c>
      <c r="E9">
        <f>IFERROR(VLOOKUP($A9,'[1]results-signed'!$A:$C,3,FALSE),"")</f>
        <v>1.2818000316619871</v>
      </c>
      <c r="F9">
        <f>IFERROR(VLOOKUP($A9,'[1]results-small'!$A:$C,3,FALSE),"")</f>
        <v>2.255509614944458</v>
      </c>
    </row>
    <row r="10" spans="1:6" x14ac:dyDescent="0.2">
      <c r="A10" t="s">
        <v>36</v>
      </c>
      <c r="B10">
        <f>IFERROR(VLOOKUP($A10,'[1]results-baseline'!$A:$C,3,FALSE),"")</f>
        <v>2.6958248615264888</v>
      </c>
      <c r="C10">
        <f>IFERROR(VLOOKUP($A10,'[1]results-large'!$A:$C,3,FALSE),"")</f>
        <v>3.4138386249542241</v>
      </c>
      <c r="D10">
        <f>IFERROR(VLOOKUP($A10,'[1]results-medium'!$A:$C,3,FALSE),"")</f>
        <v>2.447412252426147</v>
      </c>
      <c r="E10">
        <f>IFERROR(VLOOKUP($A10,'[1]results-signed'!$A:$C,3,FALSE),"")</f>
        <v>2.7778723239898682</v>
      </c>
      <c r="F10">
        <f>IFERROR(VLOOKUP($A10,'[1]results-small'!$A:$C,3,FALSE),"")</f>
        <v>1.951467752456665</v>
      </c>
    </row>
    <row r="11" spans="1:6" x14ac:dyDescent="0.2">
      <c r="A11" t="s">
        <v>38</v>
      </c>
      <c r="B11">
        <f>IFERROR(VLOOKUP($A11,'[1]results-baseline'!$A:$C,3,FALSE),"")</f>
        <v>142.59690117836001</v>
      </c>
      <c r="C11">
        <f>IFERROR(VLOOKUP($A11,'[1]results-large'!$A:$C,3,FALSE),"")</f>
        <v>149.13368463516241</v>
      </c>
      <c r="D11">
        <f>IFERROR(VLOOKUP($A11,'[1]results-medium'!$A:$C,3,FALSE),"")</f>
        <v>129.7519953250885</v>
      </c>
      <c r="E11">
        <f>IFERROR(VLOOKUP($A11,'[1]results-signed'!$A:$C,3,FALSE),"")</f>
        <v>143.1133682727814</v>
      </c>
      <c r="F11">
        <f>IFERROR(VLOOKUP($A11,'[1]results-small'!$A:$C,3,FALSE),"")</f>
        <v>138.4456901550293</v>
      </c>
    </row>
    <row r="12" spans="1:6" x14ac:dyDescent="0.2">
      <c r="A12" t="s">
        <v>44</v>
      </c>
      <c r="B12">
        <f>IFERROR(VLOOKUP($A12,'[1]results-baseline'!$A:$C,3,FALSE),"")</f>
        <v>111.2369992733002</v>
      </c>
      <c r="C12">
        <f>IFERROR(VLOOKUP($A12,'[1]results-large'!$A:$C,3,FALSE),"")</f>
        <v>101.02555823326109</v>
      </c>
      <c r="D12">
        <f>IFERROR(VLOOKUP($A12,'[1]results-medium'!$A:$C,3,FALSE),"")</f>
        <v>111.3378133773804</v>
      </c>
      <c r="E12">
        <f>IFERROR(VLOOKUP($A12,'[1]results-signed'!$A:$C,3,FALSE),"")</f>
        <v>107.6230447292328</v>
      </c>
      <c r="F12">
        <f>IFERROR(VLOOKUP($A12,'[1]results-small'!$A:$C,3,FALSE),"")</f>
        <v>145.13331270217901</v>
      </c>
    </row>
    <row r="13" spans="1:6" x14ac:dyDescent="0.2">
      <c r="A13" t="s">
        <v>45</v>
      </c>
      <c r="B13">
        <f>IFERROR(VLOOKUP($A13,'[1]results-baseline'!$A:$C,3,FALSE),"")</f>
        <v>11.12966418266296</v>
      </c>
      <c r="C13">
        <f>IFERROR(VLOOKUP($A13,'[1]results-large'!$A:$C,3,FALSE),"")</f>
        <v>13.24014449119568</v>
      </c>
      <c r="D13">
        <f>IFERROR(VLOOKUP($A13,'[1]results-medium'!$A:$C,3,FALSE),"")</f>
        <v>11.756438016891479</v>
      </c>
      <c r="E13">
        <f>IFERROR(VLOOKUP($A13,'[1]results-signed'!$A:$C,3,FALSE),"")</f>
        <v>10.202280044555661</v>
      </c>
      <c r="F13">
        <f>IFERROR(VLOOKUP($A13,'[1]results-small'!$A:$C,3,FALSE),"")</f>
        <v>11.250807762146</v>
      </c>
    </row>
    <row r="14" spans="1:6" x14ac:dyDescent="0.2">
      <c r="A14" t="s">
        <v>46</v>
      </c>
      <c r="B14">
        <f>IFERROR(VLOOKUP($A14,'[1]results-baseline'!$A:$C,3,FALSE),"")</f>
        <v>338.67073392868042</v>
      </c>
      <c r="C14">
        <f>IFERROR(VLOOKUP($A14,'[1]results-large'!$A:$C,3,FALSE),"")</f>
        <v>223.29891228675839</v>
      </c>
      <c r="D14">
        <f>IFERROR(VLOOKUP($A14,'[1]results-medium'!$A:$C,3,FALSE),"")</f>
        <v>208.6567368507385</v>
      </c>
      <c r="E14">
        <f>IFERROR(VLOOKUP($A14,'[1]results-signed'!$A:$C,3,FALSE),"")</f>
        <v>218.2070107460022</v>
      </c>
      <c r="F14">
        <f>IFERROR(VLOOKUP($A14,'[1]results-small'!$A:$C,3,FALSE),"")</f>
        <v>284.03526139259338</v>
      </c>
    </row>
    <row r="15" spans="1:6" x14ac:dyDescent="0.2">
      <c r="A15" t="s">
        <v>47</v>
      </c>
      <c r="B15">
        <f>IFERROR(VLOOKUP($A15,'[1]results-baseline'!$A:$C,3,FALSE),"")</f>
        <v>85.549098491668701</v>
      </c>
      <c r="C15">
        <f>IFERROR(VLOOKUP($A15,'[1]results-large'!$A:$C,3,FALSE),"")</f>
        <v>102.8006916046143</v>
      </c>
      <c r="D15">
        <f>IFERROR(VLOOKUP($A15,'[1]results-medium'!$A:$C,3,FALSE),"")</f>
        <v>92.945230722427368</v>
      </c>
      <c r="E15">
        <f>IFERROR(VLOOKUP($A15,'[1]results-signed'!$A:$C,3,FALSE),"")</f>
        <v>83.154446363449097</v>
      </c>
      <c r="F15">
        <f>IFERROR(VLOOKUP($A15,'[1]results-small'!$A:$C,3,FALSE),"")</f>
        <v>84.097386598587036</v>
      </c>
    </row>
    <row r="16" spans="1:6" x14ac:dyDescent="0.2">
      <c r="A16" t="s">
        <v>54</v>
      </c>
      <c r="B16">
        <f>IFERROR(VLOOKUP($A16,'[1]results-baseline'!$A:$C,3,FALSE),"")</f>
        <v>1.9314866065978999</v>
      </c>
      <c r="C16">
        <f>IFERROR(VLOOKUP($A16,'[1]results-large'!$A:$C,3,FALSE),"")</f>
        <v>1.8437173366546631</v>
      </c>
      <c r="D16">
        <f>IFERROR(VLOOKUP($A16,'[1]results-medium'!$A:$C,3,FALSE),"")</f>
        <v>1.8088793754577639</v>
      </c>
      <c r="E16">
        <f>IFERROR(VLOOKUP($A16,'[1]results-signed'!$A:$C,3,FALSE),"")</f>
        <v>1.6613538265228269</v>
      </c>
      <c r="F16">
        <f>IFERROR(VLOOKUP($A16,'[1]results-small'!$A:$C,3,FALSE),"")</f>
        <v>1.7382650375366211</v>
      </c>
    </row>
    <row r="17" spans="1:6" x14ac:dyDescent="0.2">
      <c r="A17" t="s">
        <v>56</v>
      </c>
      <c r="B17">
        <f>IFERROR(VLOOKUP($A17,'[1]results-baseline'!$A:$C,3,FALSE),"")</f>
        <v>429.95021200180048</v>
      </c>
      <c r="C17">
        <f>IFERROR(VLOOKUP($A17,'[1]results-large'!$A:$C,3,FALSE),"")</f>
        <v>446.55220174789429</v>
      </c>
      <c r="D17">
        <f>IFERROR(VLOOKUP($A17,'[1]results-medium'!$A:$C,3,FALSE),"")</f>
        <v>418.12566995620728</v>
      </c>
      <c r="E17">
        <f>IFERROR(VLOOKUP($A17,'[1]results-signed'!$A:$C,3,FALSE),"")</f>
        <v>312.39491963386541</v>
      </c>
      <c r="F17">
        <f>IFERROR(VLOOKUP($A17,'[1]results-small'!$A:$C,3,FALSE),"")</f>
        <v>342.53411221504211</v>
      </c>
    </row>
    <row r="18" spans="1:6" x14ac:dyDescent="0.2">
      <c r="A18" t="s">
        <v>57</v>
      </c>
      <c r="B18">
        <f>IFERROR(VLOOKUP($A18,'[1]results-baseline'!$A:$C,3,FALSE),"")</f>
        <v>1.546737432479858</v>
      </c>
      <c r="C18">
        <f>IFERROR(VLOOKUP($A18,'[1]results-large'!$A:$C,3,FALSE),"")</f>
        <v>2.14338207244873</v>
      </c>
      <c r="D18">
        <f>IFERROR(VLOOKUP($A18,'[1]results-medium'!$A:$C,3,FALSE),"")</f>
        <v>2.0171360969543461</v>
      </c>
      <c r="E18">
        <f>IFERROR(VLOOKUP($A18,'[1]results-signed'!$A:$C,3,FALSE),"")</f>
        <v>2.2448265552520752</v>
      </c>
      <c r="F18">
        <f>IFERROR(VLOOKUP($A18,'[1]results-small'!$A:$C,3,FALSE),"")</f>
        <v>1.723716020584106</v>
      </c>
    </row>
    <row r="19" spans="1:6" x14ac:dyDescent="0.2">
      <c r="A19" t="s">
        <v>61</v>
      </c>
      <c r="B19">
        <f>IFERROR(VLOOKUP($A19,'[1]results-baseline'!$A:$C,3,FALSE),"")</f>
        <v>2103.4495780467992</v>
      </c>
      <c r="C19">
        <f>IFERROR(VLOOKUP($A19,'[1]results-large'!$A:$C,3,FALSE),"")</f>
        <v>1360.646322250366</v>
      </c>
      <c r="D19">
        <f>IFERROR(VLOOKUP($A19,'[1]results-medium'!$A:$C,3,FALSE),"")</f>
        <v>1503.4183466434481</v>
      </c>
      <c r="E19">
        <f>IFERROR(VLOOKUP($A19,'[1]results-signed'!$A:$C,3,FALSE),"")</f>
        <v>1319.464948654175</v>
      </c>
      <c r="F19">
        <f>IFERROR(VLOOKUP($A19,'[1]results-small'!$A:$C,3,FALSE),"")</f>
        <v>1297.036682844162</v>
      </c>
    </row>
    <row r="20" spans="1:6" x14ac:dyDescent="0.2">
      <c r="A20" t="s">
        <v>63</v>
      </c>
      <c r="B20">
        <f>IFERROR(VLOOKUP($A20,'[1]results-baseline'!$A:$C,3,FALSE),"")</f>
        <v>294.06167674064642</v>
      </c>
      <c r="C20">
        <f>IFERROR(VLOOKUP($A20,'[1]results-large'!$A:$C,3,FALSE),"")</f>
        <v>503.71039080619812</v>
      </c>
      <c r="D20">
        <f>IFERROR(VLOOKUP($A20,'[1]results-medium'!$A:$C,3,FALSE),"")</f>
        <v>632.48327088356018</v>
      </c>
      <c r="E20">
        <f>IFERROR(VLOOKUP($A20,'[1]results-signed'!$A:$C,3,FALSE),"")</f>
        <v>515.78389930725098</v>
      </c>
      <c r="F20">
        <f>IFERROR(VLOOKUP($A20,'[1]results-small'!$A:$C,3,FALSE),"")</f>
        <v>448.23497700691217</v>
      </c>
    </row>
    <row r="21" spans="1:6" x14ac:dyDescent="0.2">
      <c r="A21" t="s">
        <v>65</v>
      </c>
      <c r="B21">
        <f>IFERROR(VLOOKUP($A21,'[1]results-baseline'!$A:$C,3,FALSE),"")</f>
        <v>1.012799978256226</v>
      </c>
      <c r="C21">
        <f>IFERROR(VLOOKUP($A21,'[1]results-large'!$A:$C,3,FALSE),"")</f>
        <v>1.0250287055969241</v>
      </c>
      <c r="D21">
        <f>IFERROR(VLOOKUP($A21,'[1]results-medium'!$A:$C,3,FALSE),"")</f>
        <v>1.0833902359008789</v>
      </c>
      <c r="E21">
        <f>IFERROR(VLOOKUP($A21,'[1]results-signed'!$A:$C,3,FALSE),"")</f>
        <v>1.079257011413574</v>
      </c>
      <c r="F21">
        <f>IFERROR(VLOOKUP($A21,'[1]results-small'!$A:$C,3,FALSE),"")</f>
        <v>1.125511646270752</v>
      </c>
    </row>
    <row r="22" spans="1:6" x14ac:dyDescent="0.2">
      <c r="A22" t="s">
        <v>67</v>
      </c>
      <c r="B22">
        <f>IFERROR(VLOOKUP($A22,'[1]results-baseline'!$A:$C,3,FALSE),"")</f>
        <v>2.0160150527954102</v>
      </c>
      <c r="C22">
        <f>IFERROR(VLOOKUP($A22,'[1]results-large'!$A:$C,3,FALSE),"")</f>
        <v>3.3830745220184331</v>
      </c>
      <c r="D22">
        <f>IFERROR(VLOOKUP($A22,'[1]results-medium'!$A:$C,3,FALSE),"")</f>
        <v>2.1955502033233638</v>
      </c>
      <c r="E22">
        <f>IFERROR(VLOOKUP($A22,'[1]results-signed'!$A:$C,3,FALSE),"")</f>
        <v>1.836404085159302</v>
      </c>
      <c r="F22">
        <f>IFERROR(VLOOKUP($A22,'[1]results-small'!$A:$C,3,FALSE),"")</f>
        <v>2.1572873592376709</v>
      </c>
    </row>
    <row r="23" spans="1:6" x14ac:dyDescent="0.2">
      <c r="A23" t="s">
        <v>69</v>
      </c>
      <c r="B23">
        <f>IFERROR(VLOOKUP($A23,'[1]results-baseline'!$A:$C,3,FALSE),"")</f>
        <v>8.0014758110046387</v>
      </c>
      <c r="C23">
        <f>IFERROR(VLOOKUP($A23,'[1]results-large'!$A:$C,3,FALSE),"")</f>
        <v>10.834578514099119</v>
      </c>
      <c r="D23">
        <f>IFERROR(VLOOKUP($A23,'[1]results-medium'!$A:$C,3,FALSE),"")</f>
        <v>8.5817973613739014</v>
      </c>
      <c r="E23">
        <f>IFERROR(VLOOKUP($A23,'[1]results-signed'!$A:$C,3,FALSE),"")</f>
        <v>6.9192407131195068</v>
      </c>
      <c r="F23">
        <f>IFERROR(VLOOKUP($A23,'[1]results-small'!$A:$C,3,FALSE),"")</f>
        <v>8.5684263706207275</v>
      </c>
    </row>
    <row r="24" spans="1:6" x14ac:dyDescent="0.2">
      <c r="A24" t="s">
        <v>70</v>
      </c>
      <c r="B24">
        <f>IFERROR(VLOOKUP($A24,'[1]results-baseline'!$A:$C,3,FALSE),"")</f>
        <v>405.7902398109436</v>
      </c>
      <c r="C24">
        <f>IFERROR(VLOOKUP($A24,'[1]results-large'!$A:$C,3,FALSE),"")</f>
        <v>461.10596132278442</v>
      </c>
      <c r="D24">
        <f>IFERROR(VLOOKUP($A24,'[1]results-medium'!$A:$C,3,FALSE),"")</f>
        <v>361.55200743675232</v>
      </c>
      <c r="E24">
        <f>IFERROR(VLOOKUP($A24,'[1]results-signed'!$A:$C,3,FALSE),"")</f>
        <v>268.32803320884699</v>
      </c>
      <c r="F24">
        <f>IFERROR(VLOOKUP($A24,'[1]results-small'!$A:$C,3,FALSE),"")</f>
        <v>366.71126961708069</v>
      </c>
    </row>
    <row r="25" spans="1:6" x14ac:dyDescent="0.2">
      <c r="A25" t="s">
        <v>78</v>
      </c>
      <c r="B25">
        <f>IFERROR(VLOOKUP($A25,'[1]results-baseline'!$A:$C,3,FALSE),"")</f>
        <v>5.0505294799804688</v>
      </c>
      <c r="C25">
        <f>IFERROR(VLOOKUP($A25,'[1]results-large'!$A:$C,3,FALSE),"")</f>
        <v>6.8042044639587402</v>
      </c>
      <c r="D25">
        <f>IFERROR(VLOOKUP($A25,'[1]results-medium'!$A:$C,3,FALSE),"")</f>
        <v>5.853773832321167</v>
      </c>
      <c r="E25">
        <f>IFERROR(VLOOKUP($A25,'[1]results-signed'!$A:$C,3,FALSE),"")</f>
        <v>6.154477596282959</v>
      </c>
      <c r="F25">
        <f>IFERROR(VLOOKUP($A25,'[1]results-small'!$A:$C,3,FALSE),"")</f>
        <v>6.0026090145111084</v>
      </c>
    </row>
    <row r="26" spans="1:6" x14ac:dyDescent="0.2">
      <c r="A26" t="s">
        <v>80</v>
      </c>
      <c r="B26">
        <f>IFERROR(VLOOKUP($A26,'[1]results-baseline'!$A:$C,3,FALSE),"")</f>
        <v>4.4917075634002694</v>
      </c>
      <c r="C26">
        <f>IFERROR(VLOOKUP($A26,'[1]results-large'!$A:$C,3,FALSE),"")</f>
        <v>5.835477352142334</v>
      </c>
      <c r="D26">
        <f>IFERROR(VLOOKUP($A26,'[1]results-medium'!$A:$C,3,FALSE),"")</f>
        <v>5.5093488693237296</v>
      </c>
      <c r="E26">
        <f>IFERROR(VLOOKUP($A26,'[1]results-signed'!$A:$C,3,FALSE),"")</f>
        <v>5.2004568576812744</v>
      </c>
      <c r="F26">
        <f>IFERROR(VLOOKUP($A26,'[1]results-small'!$A:$C,3,FALSE),"")</f>
        <v>5.0957410335540771</v>
      </c>
    </row>
    <row r="27" spans="1:6" x14ac:dyDescent="0.2">
      <c r="A27" t="s">
        <v>84</v>
      </c>
      <c r="B27">
        <f>IFERROR(VLOOKUP($A27,'[1]results-baseline'!$A:$C,3,FALSE),"")</f>
        <v>6.7018795013427734</v>
      </c>
      <c r="C27">
        <f>IFERROR(VLOOKUP($A27,'[1]results-large'!$A:$C,3,FALSE),"")</f>
        <v>8.2688801288604736</v>
      </c>
      <c r="D27">
        <f>IFERROR(VLOOKUP($A27,'[1]results-medium'!$A:$C,3,FALSE),"")</f>
        <v>6.5287718772888184</v>
      </c>
      <c r="E27">
        <f>IFERROR(VLOOKUP($A27,'[1]results-signed'!$A:$C,3,FALSE),"")</f>
        <v>4.9941027164459229</v>
      </c>
      <c r="F27">
        <f>IFERROR(VLOOKUP($A27,'[1]results-small'!$A:$C,3,FALSE),"")</f>
        <v>7.2175328731536874</v>
      </c>
    </row>
    <row r="28" spans="1:6" x14ac:dyDescent="0.2">
      <c r="A28" t="s">
        <v>85</v>
      </c>
      <c r="B28">
        <f>IFERROR(VLOOKUP($A28,'[1]results-baseline'!$A:$C,3,FALSE),"")</f>
        <v>205.13161683082581</v>
      </c>
      <c r="C28">
        <f>IFERROR(VLOOKUP($A28,'[1]results-large'!$A:$C,3,FALSE),"")</f>
        <v>323.35472893714899</v>
      </c>
      <c r="D28">
        <f>IFERROR(VLOOKUP($A28,'[1]results-medium'!$A:$C,3,FALSE),"")</f>
        <v>264.23957180976868</v>
      </c>
      <c r="E28">
        <f>IFERROR(VLOOKUP($A28,'[1]results-signed'!$A:$C,3,FALSE),"")</f>
        <v>255.45963144302371</v>
      </c>
      <c r="F28">
        <f>IFERROR(VLOOKUP($A28,'[1]results-small'!$A:$C,3,FALSE),"")</f>
        <v>227.53408026695249</v>
      </c>
    </row>
    <row r="29" spans="1:6" x14ac:dyDescent="0.2">
      <c r="A29" t="s">
        <v>86</v>
      </c>
      <c r="B29">
        <f>IFERROR(VLOOKUP($A29,'[1]results-baseline'!$A:$C,3,FALSE),"")</f>
        <v>6.535388708114624</v>
      </c>
      <c r="C29">
        <f>IFERROR(VLOOKUP($A29,'[1]results-large'!$A:$C,3,FALSE),"")</f>
        <v>11.772971153259279</v>
      </c>
      <c r="D29">
        <f>IFERROR(VLOOKUP($A29,'[1]results-medium'!$A:$C,3,FALSE),"")</f>
        <v>10.145428895950319</v>
      </c>
      <c r="E29">
        <f>IFERROR(VLOOKUP($A29,'[1]results-signed'!$A:$C,3,FALSE),"")</f>
        <v>11.418295860290529</v>
      </c>
      <c r="F29">
        <f>IFERROR(VLOOKUP($A29,'[1]results-small'!$A:$C,3,FALSE),"")</f>
        <v>10.107896089553829</v>
      </c>
    </row>
    <row r="30" spans="1:6" x14ac:dyDescent="0.2">
      <c r="A30" t="s">
        <v>91</v>
      </c>
      <c r="B30">
        <f>IFERROR(VLOOKUP($A30,'[1]results-baseline'!$A:$C,3,FALSE),"")</f>
        <v>90.896047592163086</v>
      </c>
      <c r="C30">
        <f>IFERROR(VLOOKUP($A30,'[1]results-large'!$A:$C,3,FALSE),"")</f>
        <v>104.5982294082642</v>
      </c>
      <c r="D30">
        <f>IFERROR(VLOOKUP($A30,'[1]results-medium'!$A:$C,3,FALSE),"")</f>
        <v>92.792263507843018</v>
      </c>
      <c r="E30">
        <f>IFERROR(VLOOKUP($A30,'[1]results-signed'!$A:$C,3,FALSE),"")</f>
        <v>80.63519811630249</v>
      </c>
      <c r="F30">
        <f>IFERROR(VLOOKUP($A30,'[1]results-small'!$A:$C,3,FALSE),"")</f>
        <v>98.905332088470459</v>
      </c>
    </row>
    <row r="31" spans="1:6" x14ac:dyDescent="0.2">
      <c r="A31" t="s">
        <v>93</v>
      </c>
      <c r="B31">
        <f>IFERROR(VLOOKUP($A31,'[1]results-baseline'!$A:$C,3,FALSE),"")</f>
        <v>306.74943614006042</v>
      </c>
      <c r="C31">
        <f>IFERROR(VLOOKUP($A31,'[1]results-large'!$A:$C,3,FALSE),"")</f>
        <v>340.13222908973688</v>
      </c>
      <c r="D31">
        <f>IFERROR(VLOOKUP($A31,'[1]results-medium'!$A:$C,3,FALSE),"")</f>
        <v>284.36823749542242</v>
      </c>
      <c r="E31">
        <f>IFERROR(VLOOKUP($A31,'[1]results-signed'!$A:$C,3,FALSE),"")</f>
        <v>308.55765247344971</v>
      </c>
      <c r="F31">
        <f>IFERROR(VLOOKUP($A31,'[1]results-small'!$A:$C,3,FALSE),"")</f>
        <v>279.04621982574457</v>
      </c>
    </row>
    <row r="32" spans="1:6" x14ac:dyDescent="0.2">
      <c r="A32" t="s">
        <v>94</v>
      </c>
      <c r="B32">
        <f>IFERROR(VLOOKUP($A32,'[1]results-baseline'!$A:$C,3,FALSE),"")</f>
        <v>19.690487623214722</v>
      </c>
      <c r="C32">
        <f>IFERROR(VLOOKUP($A32,'[1]results-large'!$A:$C,3,FALSE),"")</f>
        <v>24.98520922660828</v>
      </c>
      <c r="D32">
        <f>IFERROR(VLOOKUP($A32,'[1]results-medium'!$A:$C,3,FALSE),"")</f>
        <v>16.56342720985413</v>
      </c>
      <c r="E32">
        <f>IFERROR(VLOOKUP($A32,'[1]results-signed'!$A:$C,3,FALSE),"")</f>
        <v>20.50856876373291</v>
      </c>
      <c r="F32">
        <f>IFERROR(VLOOKUP($A32,'[1]results-small'!$A:$C,3,FALSE),"")</f>
        <v>19.099498271942139</v>
      </c>
    </row>
    <row r="33" spans="1:6" x14ac:dyDescent="0.2">
      <c r="A33" t="s">
        <v>95</v>
      </c>
      <c r="B33">
        <f>IFERROR(VLOOKUP($A33,'[1]results-baseline'!$A:$C,3,FALSE),"")</f>
        <v>84.911496162414551</v>
      </c>
      <c r="C33">
        <f>IFERROR(VLOOKUP($A33,'[1]results-large'!$A:$C,3,FALSE),"")</f>
        <v>97.386493444442749</v>
      </c>
      <c r="D33">
        <f>IFERROR(VLOOKUP($A33,'[1]results-medium'!$A:$C,3,FALSE),"")</f>
        <v>66.390982389450073</v>
      </c>
      <c r="E33">
        <f>IFERROR(VLOOKUP($A33,'[1]results-signed'!$A:$C,3,FALSE),"")</f>
        <v>81.022395133972168</v>
      </c>
      <c r="F33">
        <f>IFERROR(VLOOKUP($A33,'[1]results-small'!$A:$C,3,FALSE),"")</f>
        <v>65.092250108718872</v>
      </c>
    </row>
    <row r="34" spans="1:6" x14ac:dyDescent="0.2">
      <c r="A34" t="s">
        <v>100</v>
      </c>
      <c r="B34">
        <f>IFERROR(VLOOKUP($A34,'[1]results-baseline'!$A:$C,3,FALSE),"")</f>
        <v>65.343093156814575</v>
      </c>
      <c r="C34">
        <f>IFERROR(VLOOKUP($A34,'[1]results-large'!$A:$C,3,FALSE),"")</f>
        <v>62.052564859390259</v>
      </c>
      <c r="D34">
        <f>IFERROR(VLOOKUP($A34,'[1]results-medium'!$A:$C,3,FALSE),"")</f>
        <v>90.958328485488892</v>
      </c>
      <c r="E34">
        <f>IFERROR(VLOOKUP($A34,'[1]results-signed'!$A:$C,3,FALSE),"")</f>
        <v>113.3221280574799</v>
      </c>
      <c r="F34">
        <f>IFERROR(VLOOKUP($A34,'[1]results-small'!$A:$C,3,FALSE),"")</f>
        <v>120.90241456031799</v>
      </c>
    </row>
    <row r="35" spans="1:6" x14ac:dyDescent="0.2">
      <c r="A35" t="s">
        <v>104</v>
      </c>
      <c r="B35">
        <f>IFERROR(VLOOKUP($A35,'[1]results-baseline'!$A:$C,3,FALSE),"")</f>
        <v>369.18428444862371</v>
      </c>
      <c r="C35">
        <f>IFERROR(VLOOKUP($A35,'[1]results-large'!$A:$C,3,FALSE),"")</f>
        <v>311.0801157951355</v>
      </c>
      <c r="D35">
        <f>IFERROR(VLOOKUP($A35,'[1]results-medium'!$A:$C,3,FALSE),"")</f>
        <v>228.5026798248291</v>
      </c>
      <c r="E35">
        <f>IFERROR(VLOOKUP($A35,'[1]results-signed'!$A:$C,3,FALSE),"")</f>
        <v>252.60204005241391</v>
      </c>
      <c r="F35">
        <f>IFERROR(VLOOKUP($A35,'[1]results-small'!$A:$C,3,FALSE),"")</f>
        <v>220.10635805129999</v>
      </c>
    </row>
    <row r="36" spans="1:6" x14ac:dyDescent="0.2">
      <c r="A36" t="s">
        <v>105</v>
      </c>
      <c r="B36">
        <f>IFERROR(VLOOKUP($A36,'[1]results-baseline'!$A:$C,3,FALSE),"")</f>
        <v>13.07046508789062</v>
      </c>
      <c r="C36">
        <f>IFERROR(VLOOKUP($A36,'[1]results-large'!$A:$C,3,FALSE),"")</f>
        <v>15.77711606025696</v>
      </c>
      <c r="D36">
        <f>IFERROR(VLOOKUP($A36,'[1]results-medium'!$A:$C,3,FALSE),"")</f>
        <v>14.621394872665411</v>
      </c>
      <c r="E36">
        <f>IFERROR(VLOOKUP($A36,'[1]results-signed'!$A:$C,3,FALSE),"")</f>
        <v>15.01265287399292</v>
      </c>
      <c r="F36">
        <f>IFERROR(VLOOKUP($A36,'[1]results-small'!$A:$C,3,FALSE),"")</f>
        <v>13.914680480957029</v>
      </c>
    </row>
    <row r="37" spans="1:6" x14ac:dyDescent="0.2">
      <c r="A37" t="s">
        <v>106</v>
      </c>
      <c r="B37">
        <f>IFERROR(VLOOKUP($A37,'[1]results-baseline'!$A:$C,3,FALSE),"")</f>
        <v>5.9414043426513672</v>
      </c>
      <c r="C37">
        <f>IFERROR(VLOOKUP($A37,'[1]results-large'!$A:$C,3,FALSE),"")</f>
        <v>15.123206853866581</v>
      </c>
      <c r="D37">
        <f>IFERROR(VLOOKUP($A37,'[1]results-medium'!$A:$C,3,FALSE),"")</f>
        <v>13.543596982955931</v>
      </c>
      <c r="E37">
        <f>IFERROR(VLOOKUP($A37,'[1]results-signed'!$A:$C,3,FALSE),"")</f>
        <v>13.578731536865231</v>
      </c>
      <c r="F37">
        <f>IFERROR(VLOOKUP($A37,'[1]results-small'!$A:$C,3,FALSE),"")</f>
        <v>13.73884296417236</v>
      </c>
    </row>
    <row r="38" spans="1:6" x14ac:dyDescent="0.2">
      <c r="A38" t="s">
        <v>108</v>
      </c>
      <c r="B38">
        <f>IFERROR(VLOOKUP($A38,'[1]results-baseline'!$A:$C,3,FALSE),"")</f>
        <v>427.0883674621582</v>
      </c>
      <c r="C38">
        <f>IFERROR(VLOOKUP($A38,'[1]results-large'!$A:$C,3,FALSE),"")</f>
        <v>402.03531408309942</v>
      </c>
      <c r="D38">
        <f>IFERROR(VLOOKUP($A38,'[1]results-medium'!$A:$C,3,FALSE),"")</f>
        <v>365.64800071716309</v>
      </c>
      <c r="E38">
        <f>IFERROR(VLOOKUP($A38,'[1]results-signed'!$A:$C,3,FALSE),"")</f>
        <v>369.58710527420038</v>
      </c>
      <c r="F38">
        <f>IFERROR(VLOOKUP($A38,'[1]results-small'!$A:$C,3,FALSE),"")</f>
        <v>452.04338479042048</v>
      </c>
    </row>
    <row r="39" spans="1:6" x14ac:dyDescent="0.2">
      <c r="A39" t="s">
        <v>109</v>
      </c>
      <c r="B39">
        <f>IFERROR(VLOOKUP($A39,'[1]results-baseline'!$A:$C,3,FALSE),"")</f>
        <v>1977.0453145504</v>
      </c>
      <c r="C39">
        <f>IFERROR(VLOOKUP($A39,'[1]results-large'!$A:$C,3,FALSE),"")</f>
        <v>5071.4860701560974</v>
      </c>
      <c r="D39">
        <v>7200</v>
      </c>
      <c r="E39">
        <f>IFERROR(VLOOKUP($A39,'[1]results-signed'!$A:$C,3,FALSE),"")</f>
        <v>5393.4392514228821</v>
      </c>
      <c r="F39">
        <f>IFERROR(VLOOKUP($A39,'[1]results-small'!$A:$C,3,FALSE),"")</f>
        <v>617.93695616722107</v>
      </c>
    </row>
    <row r="40" spans="1:6" x14ac:dyDescent="0.2">
      <c r="A40" t="s">
        <v>110</v>
      </c>
      <c r="B40">
        <f>IFERROR(VLOOKUP($A40,'[1]results-baseline'!$A:$C,3,FALSE),"")</f>
        <v>249.79613471031189</v>
      </c>
      <c r="C40">
        <f>IFERROR(VLOOKUP($A40,'[1]results-large'!$A:$C,3,FALSE),"")</f>
        <v>315.67101001739502</v>
      </c>
      <c r="D40">
        <f>IFERROR(VLOOKUP($A40,'[1]results-medium'!$A:$C,3,FALSE),"")</f>
        <v>312.06827068328857</v>
      </c>
      <c r="E40">
        <f>IFERROR(VLOOKUP($A40,'[1]results-signed'!$A:$C,3,FALSE),"")</f>
        <v>283.20229744911188</v>
      </c>
      <c r="F40">
        <f>IFERROR(VLOOKUP($A40,'[1]results-small'!$A:$C,3,FALSE),"")</f>
        <v>355.92883110046392</v>
      </c>
    </row>
    <row r="41" spans="1:6" x14ac:dyDescent="0.2">
      <c r="A41" t="s">
        <v>112</v>
      </c>
      <c r="B41">
        <f>IFERROR(VLOOKUP($A41,'[1]results-baseline'!$A:$C,3,FALSE),"")</f>
        <v>135.84874248504639</v>
      </c>
      <c r="C41">
        <f>IFERROR(VLOOKUP($A41,'[1]results-large'!$A:$C,3,FALSE),"")</f>
        <v>191.30707287788391</v>
      </c>
      <c r="D41">
        <f>IFERROR(VLOOKUP($A41,'[1]results-medium'!$A:$C,3,FALSE),"")</f>
        <v>181.38168931007391</v>
      </c>
      <c r="E41">
        <f>IFERROR(VLOOKUP($A41,'[1]results-signed'!$A:$C,3,FALSE),"")</f>
        <v>168.5715479850769</v>
      </c>
      <c r="F41">
        <f>IFERROR(VLOOKUP($A41,'[1]results-small'!$A:$C,3,FALSE),"")</f>
        <v>193.5542619228363</v>
      </c>
    </row>
    <row r="42" spans="1:6" x14ac:dyDescent="0.2">
      <c r="A42" t="s">
        <v>114</v>
      </c>
      <c r="B42">
        <f>IFERROR(VLOOKUP($A42,'[1]results-baseline'!$A:$C,3,FALSE),"")</f>
        <v>1.2127366065978999</v>
      </c>
      <c r="C42">
        <f>IFERROR(VLOOKUP($A42,'[1]results-large'!$A:$C,3,FALSE),"")</f>
        <v>1.6149575710296631</v>
      </c>
      <c r="D42">
        <f>IFERROR(VLOOKUP($A42,'[1]results-medium'!$A:$C,3,FALSE),"")</f>
        <v>1.125351667404175</v>
      </c>
      <c r="E42">
        <f>IFERROR(VLOOKUP($A42,'[1]results-signed'!$A:$C,3,FALSE),"")</f>
        <v>1.2498335838317871</v>
      </c>
      <c r="F42">
        <f>IFERROR(VLOOKUP($A42,'[1]results-small'!$A:$C,3,FALSE),"")</f>
        <v>1.2775788307189939</v>
      </c>
    </row>
    <row r="43" spans="1:6" x14ac:dyDescent="0.2">
      <c r="A43" t="s">
        <v>116</v>
      </c>
      <c r="B43">
        <f>IFERROR(VLOOKUP($A43,'[1]results-baseline'!$A:$C,3,FALSE),"")</f>
        <v>5.8773384094238281</v>
      </c>
      <c r="C43">
        <f>IFERROR(VLOOKUP($A43,'[1]results-large'!$A:$C,3,FALSE),"")</f>
        <v>7.2323195934295654</v>
      </c>
      <c r="D43">
        <f>IFERROR(VLOOKUP($A43,'[1]results-medium'!$A:$C,3,FALSE),"")</f>
        <v>6.1638500690460214</v>
      </c>
      <c r="E43">
        <f>IFERROR(VLOOKUP($A43,'[1]results-signed'!$A:$C,3,FALSE),"")</f>
        <v>6.5098941326141357</v>
      </c>
      <c r="F43">
        <f>IFERROR(VLOOKUP($A43,'[1]results-small'!$A:$C,3,FALSE),"")</f>
        <v>6.813368558883667</v>
      </c>
    </row>
    <row r="44" spans="1:6" x14ac:dyDescent="0.2">
      <c r="A44" t="s">
        <v>118</v>
      </c>
      <c r="B44">
        <f>IFERROR(VLOOKUP($A44,'[1]results-baseline'!$A:$C,3,FALSE),"")</f>
        <v>6.2061581611633301</v>
      </c>
      <c r="C44">
        <f>IFERROR(VLOOKUP($A44,'[1]results-large'!$A:$C,3,FALSE),"")</f>
        <v>7.9981951713562012</v>
      </c>
      <c r="D44">
        <f>IFERROR(VLOOKUP($A44,'[1]results-medium'!$A:$C,3,FALSE),"")</f>
        <v>6.124413013458252</v>
      </c>
      <c r="E44">
        <f>IFERROR(VLOOKUP($A44,'[1]results-signed'!$A:$C,3,FALSE),"")</f>
        <v>6.9907906055450439</v>
      </c>
      <c r="F44">
        <f>IFERROR(VLOOKUP($A44,'[1]results-small'!$A:$C,3,FALSE),"")</f>
        <v>5.9130589962005624</v>
      </c>
    </row>
    <row r="45" spans="1:6" x14ac:dyDescent="0.2">
      <c r="A45" t="s">
        <v>122</v>
      </c>
      <c r="B45">
        <f>IFERROR(VLOOKUP($A45,'[1]results-baseline'!$A:$C,3,FALSE),"")</f>
        <v>32.559746742248542</v>
      </c>
      <c r="C45">
        <f>IFERROR(VLOOKUP($A45,'[1]results-large'!$A:$C,3,FALSE),"")</f>
        <v>37.922319889068604</v>
      </c>
      <c r="D45">
        <f>IFERROR(VLOOKUP($A45,'[1]results-medium'!$A:$C,3,FALSE),"")</f>
        <v>23.446670532226559</v>
      </c>
      <c r="E45">
        <f>IFERROR(VLOOKUP($A45,'[1]results-signed'!$A:$C,3,FALSE),"")</f>
        <v>22.462019443511959</v>
      </c>
      <c r="F45">
        <f>IFERROR(VLOOKUP($A45,'[1]results-small'!$A:$C,3,FALSE),"")</f>
        <v>33.393537282943733</v>
      </c>
    </row>
    <row r="46" spans="1:6" x14ac:dyDescent="0.2">
      <c r="A46" t="s">
        <v>124</v>
      </c>
      <c r="B46">
        <f>IFERROR(VLOOKUP($A46,'[1]results-baseline'!$A:$C,3,FALSE),"")</f>
        <v>518.70079445838928</v>
      </c>
      <c r="C46">
        <f>IFERROR(VLOOKUP($A46,'[1]results-large'!$A:$C,3,FALSE),"")</f>
        <v>622.96505355834961</v>
      </c>
      <c r="D46">
        <f>IFERROR(VLOOKUP($A46,'[1]results-medium'!$A:$C,3,FALSE),"")</f>
        <v>517.85615158081055</v>
      </c>
      <c r="E46">
        <f>IFERROR(VLOOKUP($A46,'[1]results-signed'!$A:$C,3,FALSE),"")</f>
        <v>609.41215872764587</v>
      </c>
      <c r="F46">
        <f>IFERROR(VLOOKUP($A46,'[1]results-small'!$A:$C,3,FALSE),"")</f>
        <v>558.79100060462952</v>
      </c>
    </row>
    <row r="47" spans="1:6" x14ac:dyDescent="0.2">
      <c r="A47" t="s">
        <v>126</v>
      </c>
      <c r="B47">
        <f>IFERROR(VLOOKUP($A47,'[1]results-baseline'!$A:$C,3,FALSE),"")</f>
        <v>11.702724456787109</v>
      </c>
      <c r="C47">
        <f>IFERROR(VLOOKUP($A47,'[1]results-large'!$A:$C,3,FALSE),"")</f>
        <v>13.40174531936646</v>
      </c>
      <c r="D47">
        <f>IFERROR(VLOOKUP($A47,'[1]results-medium'!$A:$C,3,FALSE),"")</f>
        <v>11.180777549743651</v>
      </c>
      <c r="E47">
        <f>IFERROR(VLOOKUP($A47,'[1]results-signed'!$A:$C,3,FALSE),"")</f>
        <v>7.5223245620727539</v>
      </c>
      <c r="F47">
        <f>IFERROR(VLOOKUP($A47,'[1]results-small'!$A:$C,3,FALSE),"")</f>
        <v>12.115880012512211</v>
      </c>
    </row>
    <row r="48" spans="1:6" x14ac:dyDescent="0.2">
      <c r="A48" t="s">
        <v>127</v>
      </c>
      <c r="B48">
        <f>IFERROR(VLOOKUP($A48,'[1]results-baseline'!$A:$C,3,FALSE),"")</f>
        <v>361.5987982749939</v>
      </c>
      <c r="C48">
        <f>IFERROR(VLOOKUP($A48,'[1]results-large'!$A:$C,3,FALSE),"")</f>
        <v>345.60641598701483</v>
      </c>
      <c r="D48">
        <f>IFERROR(VLOOKUP($A48,'[1]results-medium'!$A:$C,3,FALSE),"")</f>
        <v>256.68566417694092</v>
      </c>
      <c r="E48">
        <f>IFERROR(VLOOKUP($A48,'[1]results-signed'!$A:$C,3,FALSE),"")</f>
        <v>266.52049398422241</v>
      </c>
      <c r="F48">
        <f>IFERROR(VLOOKUP($A48,'[1]results-small'!$A:$C,3,FALSE),"")</f>
        <v>312.5510938167572</v>
      </c>
    </row>
    <row r="49" spans="1:6" x14ac:dyDescent="0.2">
      <c r="A49" t="s">
        <v>132</v>
      </c>
      <c r="B49">
        <f>IFERROR(VLOOKUP($A49,'[1]results-baseline'!$A:$C,3,FALSE),"")</f>
        <v>7.3291137218475342</v>
      </c>
      <c r="C49">
        <f>IFERROR(VLOOKUP($A49,'[1]results-large'!$A:$C,3,FALSE),"")</f>
        <v>3.3885467052459721</v>
      </c>
      <c r="D49">
        <f>IFERROR(VLOOKUP($A49,'[1]results-medium'!$A:$C,3,FALSE),"")</f>
        <v>1.835096597671509</v>
      </c>
      <c r="E49">
        <f>IFERROR(VLOOKUP($A49,'[1]results-signed'!$A:$C,3,FALSE),"")</f>
        <v>2.7079026699066162</v>
      </c>
      <c r="F49">
        <f>IFERROR(VLOOKUP($A49,'[1]results-small'!$A:$C,3,FALSE),"")</f>
        <v>2.5906884670257568</v>
      </c>
    </row>
    <row r="50" spans="1:6" x14ac:dyDescent="0.2">
      <c r="A50" t="s">
        <v>133</v>
      </c>
      <c r="B50">
        <f>IFERROR(VLOOKUP($A50,'[1]results-baseline'!$A:$C,3,FALSE),"")</f>
        <v>3.687181711196899</v>
      </c>
      <c r="C50">
        <f>IFERROR(VLOOKUP($A50,'[1]results-large'!$A:$C,3,FALSE),"")</f>
        <v>4.7238864898681641</v>
      </c>
      <c r="D50">
        <f>IFERROR(VLOOKUP($A50,'[1]results-medium'!$A:$C,3,FALSE),"")</f>
        <v>4.5454537868499756</v>
      </c>
      <c r="E50">
        <f>IFERROR(VLOOKUP($A50,'[1]results-signed'!$A:$C,3,FALSE),"")</f>
        <v>4.3276536464691162</v>
      </c>
      <c r="F50">
        <f>IFERROR(VLOOKUP($A50,'[1]results-small'!$A:$C,3,FALSE),"")</f>
        <v>4.3614299297332764</v>
      </c>
    </row>
    <row r="51" spans="1:6" x14ac:dyDescent="0.2">
      <c r="A51" t="s">
        <v>135</v>
      </c>
      <c r="B51">
        <f>IFERROR(VLOOKUP($A51,'[1]results-baseline'!$A:$C,3,FALSE),"")</f>
        <v>2188.861278295517</v>
      </c>
      <c r="C51">
        <f>IFERROR(VLOOKUP($A51,'[1]results-large'!$A:$C,3,FALSE),"")</f>
        <v>2227.985970973969</v>
      </c>
      <c r="D51">
        <f>IFERROR(VLOOKUP($A51,'[1]results-medium'!$A:$C,3,FALSE),"")</f>
        <v>2461.8026030063629</v>
      </c>
      <c r="E51">
        <f>IFERROR(VLOOKUP($A51,'[1]results-signed'!$A:$C,3,FALSE),"")</f>
        <v>2247.4632723331451</v>
      </c>
      <c r="F51">
        <f>IFERROR(VLOOKUP($A51,'[1]results-small'!$A:$C,3,FALSE),"")</f>
        <v>2115.4348285198212</v>
      </c>
    </row>
    <row r="52" spans="1:6" x14ac:dyDescent="0.2">
      <c r="A52" t="s">
        <v>137</v>
      </c>
      <c r="B52">
        <f>IFERROR(VLOOKUP($A52,'[1]results-baseline'!$A:$C,3,FALSE),"")</f>
        <v>3374.6676442623138</v>
      </c>
      <c r="C52">
        <f>IFERROR(VLOOKUP($A52,'[1]results-large'!$A:$C,3,FALSE),"")</f>
        <v>2496.6519794464111</v>
      </c>
      <c r="D52">
        <f>IFERROR(VLOOKUP($A52,'[1]results-medium'!$A:$C,3,FALSE),"")</f>
        <v>3008.50664305687</v>
      </c>
      <c r="E52">
        <f>IFERROR(VLOOKUP($A52,'[1]results-signed'!$A:$C,3,FALSE),"")</f>
        <v>5282.1062586307526</v>
      </c>
      <c r="F52">
        <f>IFERROR(VLOOKUP($A52,'[1]results-small'!$A:$C,3,FALSE),"")</f>
        <v>2699.6370847225189</v>
      </c>
    </row>
    <row r="53" spans="1:6" x14ac:dyDescent="0.2">
      <c r="A53" t="s">
        <v>139</v>
      </c>
      <c r="B53">
        <f>IFERROR(VLOOKUP($A53,'[1]results-baseline'!$A:$C,3,FALSE),"")</f>
        <v>22.50072002410889</v>
      </c>
      <c r="C53">
        <f>IFERROR(VLOOKUP($A53,'[1]results-large'!$A:$C,3,FALSE),"")</f>
        <v>31.47201228141785</v>
      </c>
      <c r="D53">
        <f>IFERROR(VLOOKUP($A53,'[1]results-medium'!$A:$C,3,FALSE),"")</f>
        <v>29.660796403884891</v>
      </c>
      <c r="E53">
        <f>IFERROR(VLOOKUP($A53,'[1]results-signed'!$A:$C,3,FALSE),"")</f>
        <v>29.971397638320919</v>
      </c>
      <c r="F53">
        <f>IFERROR(VLOOKUP($A53,'[1]results-small'!$A:$C,3,FALSE),"")</f>
        <v>31.59534049034119</v>
      </c>
    </row>
    <row r="54" spans="1:6" x14ac:dyDescent="0.2">
      <c r="A54" t="s">
        <v>141</v>
      </c>
      <c r="B54">
        <f>IFERROR(VLOOKUP($A54,'[1]results-baseline'!$A:$C,3,FALSE),"")</f>
        <v>1145.5205428600309</v>
      </c>
      <c r="C54">
        <f>IFERROR(VLOOKUP($A54,'[1]results-large'!$A:$C,3,FALSE),"")</f>
        <v>1048.470063447952</v>
      </c>
      <c r="D54">
        <f>IFERROR(VLOOKUP($A54,'[1]results-medium'!$A:$C,3,FALSE),"")</f>
        <v>921.90747785568237</v>
      </c>
      <c r="E54">
        <f>IFERROR(VLOOKUP($A54,'[1]results-signed'!$A:$C,3,FALSE),"")</f>
        <v>943.05691242218018</v>
      </c>
      <c r="F54">
        <f>IFERROR(VLOOKUP($A54,'[1]results-small'!$A:$C,3,FALSE),"")</f>
        <v>1069.1446053981781</v>
      </c>
    </row>
    <row r="55" spans="1:6" x14ac:dyDescent="0.2">
      <c r="A55" t="s">
        <v>142</v>
      </c>
      <c r="B55">
        <f>IFERROR(VLOOKUP($A55,'[1]results-baseline'!$A:$C,3,FALSE),"")</f>
        <v>1009.477729320526</v>
      </c>
      <c r="C55">
        <f>IFERROR(VLOOKUP($A55,'[1]results-large'!$A:$C,3,FALSE),"")</f>
        <v>1021.735809087753</v>
      </c>
      <c r="D55">
        <f>IFERROR(VLOOKUP($A55,'[1]results-medium'!$A:$C,3,FALSE),"")</f>
        <v>1158.1067538261409</v>
      </c>
      <c r="E55">
        <f>IFERROR(VLOOKUP($A55,'[1]results-signed'!$A:$C,3,FALSE),"")</f>
        <v>1138.248934268951</v>
      </c>
      <c r="F55">
        <f>IFERROR(VLOOKUP($A55,'[1]results-small'!$A:$C,3,FALSE),"")</f>
        <v>989.02933526039124</v>
      </c>
    </row>
    <row r="56" spans="1:6" x14ac:dyDescent="0.2">
      <c r="A56" t="s">
        <v>145</v>
      </c>
      <c r="B56">
        <f>IFERROR(VLOOKUP($A56,'[1]results-baseline'!$A:$C,3,FALSE),"")</f>
        <v>3275.6202714443211</v>
      </c>
      <c r="C56">
        <f>IFERROR(VLOOKUP($A56,'[1]results-large'!$A:$C,3,FALSE),"")</f>
        <v>3053.611735105515</v>
      </c>
      <c r="D56">
        <f>IFERROR(VLOOKUP($A56,'[1]results-medium'!$A:$C,3,FALSE),"")</f>
        <v>3367.8720877170558</v>
      </c>
      <c r="E56">
        <f>IFERROR(VLOOKUP($A56,'[1]results-signed'!$A:$C,3,FALSE),"")</f>
        <v>3024.8965256214142</v>
      </c>
      <c r="F56">
        <f>IFERROR(VLOOKUP($A56,'[1]results-small'!$A:$C,3,FALSE),"")</f>
        <v>3495.8658490180969</v>
      </c>
    </row>
    <row r="57" spans="1:6" x14ac:dyDescent="0.2">
      <c r="A57" t="s">
        <v>146</v>
      </c>
      <c r="B57">
        <f>IFERROR(VLOOKUP($A57,'[1]results-baseline'!$A:$C,3,FALSE),"")</f>
        <v>10.46259665489197</v>
      </c>
      <c r="C57">
        <f>IFERROR(VLOOKUP($A57,'[1]results-large'!$A:$C,3,FALSE),"")</f>
        <v>27.149557828903198</v>
      </c>
      <c r="D57">
        <f>IFERROR(VLOOKUP($A57,'[1]results-medium'!$A:$C,3,FALSE),"")</f>
        <v>18.445169925689701</v>
      </c>
      <c r="E57">
        <f>IFERROR(VLOOKUP($A57,'[1]results-signed'!$A:$C,3,FALSE),"")</f>
        <v>18.382340908050541</v>
      </c>
      <c r="F57">
        <f>IFERROR(VLOOKUP($A57,'[1]results-small'!$A:$C,3,FALSE),"")</f>
        <v>11.813479423522949</v>
      </c>
    </row>
    <row r="58" spans="1:6" x14ac:dyDescent="0.2">
      <c r="A58" t="s">
        <v>148</v>
      </c>
      <c r="B58">
        <f>IFERROR(VLOOKUP($A58,'[1]results-baseline'!$A:$C,3,FALSE),"")</f>
        <v>204.97261500358579</v>
      </c>
      <c r="C58">
        <f>IFERROR(VLOOKUP($A58,'[1]results-large'!$A:$C,3,FALSE),"")</f>
        <v>375.20069694519037</v>
      </c>
      <c r="D58">
        <f>IFERROR(VLOOKUP($A58,'[1]results-medium'!$A:$C,3,FALSE),"")</f>
        <v>227.62509250640869</v>
      </c>
      <c r="E58">
        <f>IFERROR(VLOOKUP($A58,'[1]results-signed'!$A:$C,3,FALSE),"")</f>
        <v>303.74981713294977</v>
      </c>
      <c r="F58">
        <f>IFERROR(VLOOKUP($A58,'[1]results-small'!$A:$C,3,FALSE),"")</f>
        <v>226.29523682594299</v>
      </c>
    </row>
    <row r="59" spans="1:6" x14ac:dyDescent="0.2">
      <c r="A59" t="s">
        <v>149</v>
      </c>
      <c r="B59">
        <f>IFERROR(VLOOKUP($A59,'[1]results-baseline'!$A:$C,3,FALSE),"")</f>
        <v>158.46337032318121</v>
      </c>
      <c r="C59">
        <f>IFERROR(VLOOKUP($A59,'[1]results-large'!$A:$C,3,FALSE),"")</f>
        <v>181.15041136741641</v>
      </c>
      <c r="D59">
        <f>IFERROR(VLOOKUP($A59,'[1]results-medium'!$A:$C,3,FALSE),"")</f>
        <v>156.04979729652399</v>
      </c>
      <c r="E59">
        <f>IFERROR(VLOOKUP($A59,'[1]results-signed'!$A:$C,3,FALSE),"")</f>
        <v>146.785285949707</v>
      </c>
      <c r="F59">
        <f>IFERROR(VLOOKUP($A59,'[1]results-small'!$A:$C,3,FALSE),"")</f>
        <v>135.79255867004389</v>
      </c>
    </row>
    <row r="60" spans="1:6" x14ac:dyDescent="0.2">
      <c r="A60" t="s">
        <v>150</v>
      </c>
      <c r="B60">
        <f>IFERROR(VLOOKUP($A60,'[1]results-baseline'!$A:$C,3,FALSE),"")</f>
        <v>707.14669466018677</v>
      </c>
      <c r="C60">
        <f>IFERROR(VLOOKUP($A60,'[1]results-large'!$A:$C,3,FALSE),"")</f>
        <v>590.92358946800232</v>
      </c>
      <c r="D60">
        <f>IFERROR(VLOOKUP($A60,'[1]results-medium'!$A:$C,3,FALSE),"")</f>
        <v>557.05427193641663</v>
      </c>
      <c r="E60">
        <f>IFERROR(VLOOKUP($A60,'[1]results-signed'!$A:$C,3,FALSE),"")</f>
        <v>452.89646482467651</v>
      </c>
      <c r="F60">
        <f>IFERROR(VLOOKUP($A60,'[1]results-small'!$A:$C,3,FALSE),"")</f>
        <v>493.77350378036499</v>
      </c>
    </row>
    <row r="61" spans="1:6" x14ac:dyDescent="0.2">
      <c r="A61" t="s">
        <v>154</v>
      </c>
      <c r="B61">
        <f>IFERROR(VLOOKUP($A61,'[1]results-baseline'!$A:$C,3,FALSE),"")</f>
        <v>3.474738597869873</v>
      </c>
      <c r="C61">
        <f>IFERROR(VLOOKUP($A61,'[1]results-large'!$A:$C,3,FALSE),"")</f>
        <v>3.8009169101715088</v>
      </c>
      <c r="D61">
        <f>IFERROR(VLOOKUP($A61,'[1]results-medium'!$A:$C,3,FALSE),"")</f>
        <v>3.6309604644775391</v>
      </c>
      <c r="E61">
        <f>IFERROR(VLOOKUP($A61,'[1]results-signed'!$A:$C,3,FALSE),"")</f>
        <v>3.3799118995666499</v>
      </c>
      <c r="F61">
        <f>IFERROR(VLOOKUP($A61,'[1]results-small'!$A:$C,3,FALSE),"")</f>
        <v>3.556601762771606</v>
      </c>
    </row>
    <row r="62" spans="1:6" x14ac:dyDescent="0.2">
      <c r="A62" t="s">
        <v>155</v>
      </c>
      <c r="B62">
        <f>IFERROR(VLOOKUP($A62,'[1]results-baseline'!$A:$C,3,FALSE),"")</f>
        <v>4.0522279739379883</v>
      </c>
      <c r="C62">
        <f>IFERROR(VLOOKUP($A62,'[1]results-large'!$A:$C,3,FALSE),"")</f>
        <v>9.5574901103973389</v>
      </c>
      <c r="D62">
        <f>IFERROR(VLOOKUP($A62,'[1]results-medium'!$A:$C,3,FALSE),"")</f>
        <v>8.4684929847717285</v>
      </c>
      <c r="E62">
        <f>IFERROR(VLOOKUP($A62,'[1]results-signed'!$A:$C,3,FALSE),"")</f>
        <v>8.0885004997253418</v>
      </c>
      <c r="F62">
        <f>IFERROR(VLOOKUP($A62,'[1]results-small'!$A:$C,3,FALSE),"")</f>
        <v>8.7798089981079102</v>
      </c>
    </row>
    <row r="65" spans="1:6" x14ac:dyDescent="0.2">
      <c r="A65" t="s">
        <v>1163</v>
      </c>
      <c r="B65">
        <f>AVERAGE(B2:B62)</f>
        <v>390.82908572525275</v>
      </c>
      <c r="C65">
        <f>AVERAGE(C2:C62)</f>
        <v>413.58489342595709</v>
      </c>
      <c r="D65">
        <f>AVERAGE(D2:D62)</f>
        <v>454.29462237436263</v>
      </c>
      <c r="E65">
        <f>AVERAGE(E2:E62)</f>
        <v>443.29351658508426</v>
      </c>
      <c r="F65">
        <f>AVERAGE(F2:F62)</f>
        <v>331.56978223753759</v>
      </c>
    </row>
    <row r="68" spans="1:6" x14ac:dyDescent="0.2">
      <c r="A68" t="s">
        <v>1164</v>
      </c>
      <c r="B68" t="s">
        <v>1165</v>
      </c>
      <c r="C68" t="s">
        <v>1166</v>
      </c>
      <c r="D68" t="s">
        <v>1167</v>
      </c>
      <c r="E68" s="1" t="s">
        <v>1168</v>
      </c>
      <c r="F68" t="s">
        <v>1169</v>
      </c>
    </row>
    <row r="69" spans="1:6" x14ac:dyDescent="0.2">
      <c r="A69" t="s">
        <v>1165</v>
      </c>
      <c r="B69">
        <f>CORREL($B$2:$B$62,B$2:B$62)</f>
        <v>1</v>
      </c>
      <c r="C69">
        <f>CORREL($B$2:$B$62,C$2:C$62)</f>
        <v>0.86344916569698971</v>
      </c>
      <c r="D69">
        <f>CORREL($B$2:$B$62,D$2:D$62)</f>
        <v>0.79803178461632251</v>
      </c>
      <c r="E69">
        <f t="shared" ref="E69" si="0">CORREL($B$2:$B$62,E$2:E$62)</f>
        <v>0.88164381160870764</v>
      </c>
      <c r="F69">
        <f>CORREL($B$2:$B$62,F$2:F$62)</f>
        <v>0.95566139308701803</v>
      </c>
    </row>
    <row r="70" spans="1:6" x14ac:dyDescent="0.2">
      <c r="A70" t="s">
        <v>1166</v>
      </c>
      <c r="B70">
        <f>CORREL($C$2:$C$62,B$2:B$62)</f>
        <v>0.86344916569698971</v>
      </c>
      <c r="C70">
        <f>CORREL($C$2:$C$62,C$2:C$62)</f>
        <v>1</v>
      </c>
      <c r="D70">
        <f t="shared" ref="D70:F70" si="1">CORREL($C$2:$C$62,D$2:D$62)</f>
        <v>0.98988230967171742</v>
      </c>
      <c r="E70">
        <f t="shared" si="1"/>
        <v>0.94787869282830772</v>
      </c>
      <c r="F70">
        <f t="shared" si="1"/>
        <v>0.74800509192530029</v>
      </c>
    </row>
    <row r="71" spans="1:6" x14ac:dyDescent="0.2">
      <c r="A71" t="s">
        <v>1167</v>
      </c>
      <c r="B71">
        <f>CORREL($D$2:$D$62,B$2:B$62)</f>
        <v>0.79803178461632251</v>
      </c>
      <c r="C71">
        <f>CORREL($D$2:$D$62,C$2:C$62)</f>
        <v>0.98988230967171742</v>
      </c>
      <c r="D71">
        <f>CORREL($D$2:$D$62,D$2:D$62)</f>
        <v>1.0000000000000002</v>
      </c>
      <c r="E71">
        <f>CORREL($D$2:$D$62,E$2:E$62)</f>
        <v>0.94010856851384661</v>
      </c>
      <c r="F71">
        <f>CORREL($D$2:$D$62,F$2:F$62)</f>
        <v>0.65923442518996</v>
      </c>
    </row>
    <row r="72" spans="1:6" x14ac:dyDescent="0.2">
      <c r="A72" t="s">
        <v>1168</v>
      </c>
      <c r="B72">
        <f>CORREL($E$2:$E$62,B$2:B$62)</f>
        <v>0.88164381160870764</v>
      </c>
      <c r="C72">
        <f>CORREL($E$2:$E$62,C$2:C$62)</f>
        <v>0.94787869282830772</v>
      </c>
      <c r="D72">
        <f>CORREL($E$2:$E$62,D$2:D$62)</f>
        <v>0.94010856851384661</v>
      </c>
      <c r="E72">
        <f>CORREL($E$2:$E$62,E$2:E$62)</f>
        <v>1.0000000000000002</v>
      </c>
      <c r="F72">
        <f>CORREL($E$2:$E$62,F$2:F$62)</f>
        <v>0.76840933833508818</v>
      </c>
    </row>
    <row r="73" spans="1:6" x14ac:dyDescent="0.2">
      <c r="A73" t="s">
        <v>1169</v>
      </c>
      <c r="B73">
        <f>CORREL($F$2:$F$62,B$2:B$62)</f>
        <v>0.95566139308701803</v>
      </c>
      <c r="C73">
        <f>CORREL($F$2:$F$62,C$2:C$62)</f>
        <v>0.74800509192530029</v>
      </c>
      <c r="D73">
        <f>CORREL($F$2:$F$62,D$2:D$62)</f>
        <v>0.65923442518996</v>
      </c>
      <c r="E73">
        <f>CORREL($F$2:$F$62,E$2:E$62)</f>
        <v>0.76840933833508818</v>
      </c>
      <c r="F73">
        <f>CORREL($F$2:$F$62,F$2:F$62)</f>
        <v>0.99999999999999989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results-baseline</vt:lpstr>
      <vt:lpstr>Sheet1</vt:lpstr>
      <vt:lpstr>Sheet2</vt:lpstr>
      <vt:lpstr>results-double</vt:lpstr>
      <vt:lpstr>results-triple</vt:lpstr>
      <vt:lpstr>results-quadruple</vt:lpstr>
      <vt:lpstr>results-quintuple</vt:lpstr>
      <vt:lpstr>results-sextuple</vt:lpstr>
      <vt:lpstr>results-small</vt:lpstr>
      <vt:lpstr>results-medium</vt:lpstr>
      <vt:lpstr>results-signed</vt:lpstr>
      <vt:lpstr>results-large</vt:lpstr>
      <vt:lpstr>comparison-coef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Yaroslav Dior</cp:lastModifiedBy>
  <dcterms:created xsi:type="dcterms:W3CDTF">2026-05-18T00:34:24Z</dcterms:created>
  <dcterms:modified xsi:type="dcterms:W3CDTF">2026-05-18T05:32:11Z</dcterms:modified>
</cp:coreProperties>
</file>